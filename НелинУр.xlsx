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женя\лобач\3 курс\6 сем\лабы\"/>
    </mc:Choice>
  </mc:AlternateContent>
  <xr:revisionPtr revIDLastSave="0" documentId="8_{251359A3-4ACD-48EA-B624-14B138C34509}" xr6:coauthVersionLast="47" xr6:coauthVersionMax="47" xr10:uidLastSave="{00000000-0000-0000-0000-000000000000}"/>
  <bookViews>
    <workbookView xWindow="-120" yWindow="-120" windowWidth="20730" windowHeight="11160" xr2:uid="{42F8D537-47CB-4CE0-A92B-2EEF58598EBC}"/>
  </bookViews>
  <sheets>
    <sheet name="мтд пол. диления" sheetId="2" r:id="rId1"/>
    <sheet name="мтд хорд" sheetId="1" r:id="rId2"/>
    <sheet name="мтд прост. итер." sheetId="4" r:id="rId3"/>
    <sheet name="мтд Ньютона" sheetId="3" r:id="rId4"/>
    <sheet name="погрешности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E2" i="2"/>
  <c r="F2" i="2"/>
  <c r="B3" i="2"/>
  <c r="H2" i="2"/>
  <c r="G73" i="4"/>
  <c r="O2" i="1"/>
  <c r="H4" i="3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3" i="1"/>
  <c r="I39" i="3"/>
  <c r="H40" i="3"/>
  <c r="C3" i="4"/>
  <c r="B4" i="4" l="1"/>
  <c r="C4" i="4" s="1"/>
  <c r="G3" i="4"/>
  <c r="I40" i="3"/>
  <c r="H41" i="3"/>
  <c r="C4" i="3"/>
  <c r="D4" i="3"/>
  <c r="E4" i="3" s="1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M4" i="3"/>
  <c r="L4" i="3"/>
  <c r="K4" i="3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10" i="1"/>
  <c r="E11" i="1"/>
  <c r="E12" i="1"/>
  <c r="E13" i="1"/>
  <c r="E14" i="1"/>
  <c r="E15" i="1"/>
  <c r="E16" i="1"/>
  <c r="E17" i="1"/>
  <c r="E18" i="1"/>
  <c r="E19" i="1"/>
  <c r="E5" i="1"/>
  <c r="E6" i="1"/>
  <c r="E7" i="1"/>
  <c r="E8" i="1"/>
  <c r="E9" i="1"/>
  <c r="E4" i="1"/>
  <c r="E3" i="1"/>
  <c r="E2" i="1"/>
  <c r="D2" i="1"/>
  <c r="F2" i="1" s="1"/>
  <c r="D2" i="2"/>
  <c r="F4" i="3" l="1"/>
  <c r="B5" i="3"/>
  <c r="B5" i="4"/>
  <c r="C5" i="4" s="1"/>
  <c r="G4" i="4"/>
  <c r="H42" i="3"/>
  <c r="I41" i="3"/>
  <c r="E3" i="2"/>
  <c r="C3" i="2"/>
  <c r="F3" i="2" s="1"/>
  <c r="B3" i="1"/>
  <c r="I7" i="1"/>
  <c r="G2" i="1"/>
  <c r="J5" i="1"/>
  <c r="D3" i="1" l="1"/>
  <c r="O3" i="1"/>
  <c r="B6" i="4"/>
  <c r="C6" i="4" s="1"/>
  <c r="G5" i="4"/>
  <c r="D5" i="3"/>
  <c r="C5" i="3"/>
  <c r="H43" i="3"/>
  <c r="I42" i="3"/>
  <c r="D3" i="2"/>
  <c r="J7" i="1"/>
  <c r="F3" i="1"/>
  <c r="G3" i="2" l="1"/>
  <c r="C4" i="2" s="1"/>
  <c r="F4" i="2" s="1"/>
  <c r="H3" i="2"/>
  <c r="E5" i="3"/>
  <c r="B7" i="4"/>
  <c r="C7" i="4" s="1"/>
  <c r="G6" i="4"/>
  <c r="H44" i="3"/>
  <c r="I43" i="3"/>
  <c r="B4" i="2"/>
  <c r="E4" i="2" s="1"/>
  <c r="G3" i="1"/>
  <c r="B4" i="1"/>
  <c r="I9" i="1"/>
  <c r="D4" i="1" l="1"/>
  <c r="O4" i="1"/>
  <c r="B8" i="4"/>
  <c r="C8" i="4" s="1"/>
  <c r="G7" i="4"/>
  <c r="F5" i="3"/>
  <c r="B6" i="3"/>
  <c r="H45" i="3"/>
  <c r="I44" i="3"/>
  <c r="D4" i="2"/>
  <c r="F4" i="1"/>
  <c r="J9" i="1"/>
  <c r="G4" i="2" l="1"/>
  <c r="H4" i="2"/>
  <c r="C6" i="3"/>
  <c r="D6" i="3"/>
  <c r="E6" i="3" s="1"/>
  <c r="B9" i="4"/>
  <c r="C9" i="4" s="1"/>
  <c r="G8" i="4"/>
  <c r="H46" i="3"/>
  <c r="I45" i="3"/>
  <c r="I11" i="1"/>
  <c r="G4" i="1"/>
  <c r="B5" i="1"/>
  <c r="D5" i="1" l="1"/>
  <c r="O5" i="1"/>
  <c r="B10" i="4"/>
  <c r="C10" i="4" s="1"/>
  <c r="G9" i="4"/>
  <c r="B7" i="3"/>
  <c r="F6" i="3"/>
  <c r="B5" i="2"/>
  <c r="C5" i="2"/>
  <c r="F5" i="2" s="1"/>
  <c r="H47" i="3"/>
  <c r="I46" i="3"/>
  <c r="F5" i="1"/>
  <c r="J11" i="1"/>
  <c r="E5" i="2" l="1"/>
  <c r="D5" i="2"/>
  <c r="C7" i="3"/>
  <c r="D7" i="3"/>
  <c r="E7" i="3" s="1"/>
  <c r="B11" i="4"/>
  <c r="C11" i="4" s="1"/>
  <c r="G10" i="4"/>
  <c r="H48" i="3"/>
  <c r="I47" i="3"/>
  <c r="I13" i="1"/>
  <c r="G5" i="1"/>
  <c r="B6" i="1"/>
  <c r="D6" i="1" l="1"/>
  <c r="O6" i="1"/>
  <c r="B12" i="4"/>
  <c r="C12" i="4" s="1"/>
  <c r="G11" i="4"/>
  <c r="B8" i="3"/>
  <c r="F7" i="3"/>
  <c r="G5" i="2"/>
  <c r="H5" i="2"/>
  <c r="H49" i="3"/>
  <c r="I48" i="3"/>
  <c r="F6" i="1"/>
  <c r="J13" i="1"/>
  <c r="B6" i="2" l="1"/>
  <c r="C6" i="2"/>
  <c r="F6" i="2" s="1"/>
  <c r="C8" i="3"/>
  <c r="D8" i="3"/>
  <c r="E8" i="3" s="1"/>
  <c r="B13" i="4"/>
  <c r="C13" i="4" s="1"/>
  <c r="G12" i="4"/>
  <c r="I49" i="3"/>
  <c r="G6" i="1"/>
  <c r="I15" i="1"/>
  <c r="B7" i="1"/>
  <c r="D7" i="1" l="1"/>
  <c r="O7" i="1"/>
  <c r="B14" i="4"/>
  <c r="C14" i="4" s="1"/>
  <c r="G13" i="4"/>
  <c r="B9" i="3"/>
  <c r="F8" i="3"/>
  <c r="E6" i="2"/>
  <c r="D6" i="2"/>
  <c r="F7" i="1"/>
  <c r="J15" i="1"/>
  <c r="H6" i="2" l="1"/>
  <c r="G6" i="2"/>
  <c r="C9" i="3"/>
  <c r="D9" i="3"/>
  <c r="E9" i="3" s="1"/>
  <c r="B15" i="4"/>
  <c r="C15" i="4" s="1"/>
  <c r="G14" i="4"/>
  <c r="G7" i="1"/>
  <c r="I17" i="1"/>
  <c r="B8" i="1"/>
  <c r="D8" i="1" l="1"/>
  <c r="O8" i="1"/>
  <c r="B16" i="4"/>
  <c r="C16" i="4" s="1"/>
  <c r="G15" i="4"/>
  <c r="B10" i="3"/>
  <c r="F9" i="3"/>
  <c r="B7" i="2"/>
  <c r="C7" i="2"/>
  <c r="F7" i="2" s="1"/>
  <c r="F8" i="1"/>
  <c r="J17" i="1"/>
  <c r="E7" i="2" l="1"/>
  <c r="D7" i="2"/>
  <c r="C10" i="3"/>
  <c r="D10" i="3"/>
  <c r="E10" i="3" s="1"/>
  <c r="B17" i="4"/>
  <c r="C17" i="4" s="1"/>
  <c r="G16" i="4"/>
  <c r="I19" i="1"/>
  <c r="G8" i="1"/>
  <c r="B9" i="1"/>
  <c r="D9" i="1" l="1"/>
  <c r="O9" i="1"/>
  <c r="B18" i="4"/>
  <c r="C18" i="4" s="1"/>
  <c r="G17" i="4"/>
  <c r="B11" i="3"/>
  <c r="F10" i="3"/>
  <c r="G7" i="2"/>
  <c r="C8" i="2" s="1"/>
  <c r="F8" i="2" s="1"/>
  <c r="H7" i="2"/>
  <c r="B8" i="2"/>
  <c r="J19" i="1"/>
  <c r="F9" i="1"/>
  <c r="E8" i="2" l="1"/>
  <c r="D8" i="2"/>
  <c r="C11" i="3"/>
  <c r="D11" i="3"/>
  <c r="E11" i="3" s="1"/>
  <c r="B19" i="4"/>
  <c r="C19" i="4" s="1"/>
  <c r="G18" i="4"/>
  <c r="G9" i="1"/>
  <c r="B10" i="1"/>
  <c r="D10" i="1" l="1"/>
  <c r="F10" i="1" s="1"/>
  <c r="O10" i="1"/>
  <c r="B20" i="4"/>
  <c r="C20" i="4" s="1"/>
  <c r="G19" i="4"/>
  <c r="F11" i="3"/>
  <c r="B12" i="3"/>
  <c r="G8" i="2"/>
  <c r="C9" i="2" s="1"/>
  <c r="F9" i="2" s="1"/>
  <c r="H8" i="2"/>
  <c r="B9" i="2"/>
  <c r="B11" i="1"/>
  <c r="G10" i="1"/>
  <c r="D11" i="1" l="1"/>
  <c r="F11" i="1" s="1"/>
  <c r="O11" i="1"/>
  <c r="E9" i="2"/>
  <c r="D9" i="2"/>
  <c r="C12" i="3"/>
  <c r="D12" i="3"/>
  <c r="E12" i="3" s="1"/>
  <c r="B21" i="4"/>
  <c r="C21" i="4" s="1"/>
  <c r="G20" i="4"/>
  <c r="B12" i="1"/>
  <c r="G11" i="1"/>
  <c r="D12" i="1" l="1"/>
  <c r="F12" i="1" s="1"/>
  <c r="O12" i="1"/>
  <c r="G21" i="4"/>
  <c r="B22" i="4"/>
  <c r="C22" i="4" s="1"/>
  <c r="B13" i="3"/>
  <c r="F12" i="3"/>
  <c r="G9" i="2"/>
  <c r="C10" i="2" s="1"/>
  <c r="F10" i="2" s="1"/>
  <c r="H9" i="2"/>
  <c r="B10" i="2"/>
  <c r="B13" i="1"/>
  <c r="G12" i="1"/>
  <c r="D13" i="1" l="1"/>
  <c r="F13" i="1" s="1"/>
  <c r="O13" i="1"/>
  <c r="D10" i="2"/>
  <c r="E10" i="2"/>
  <c r="C13" i="3"/>
  <c r="D13" i="3"/>
  <c r="E13" i="3" s="1"/>
  <c r="B23" i="4"/>
  <c r="C23" i="4" s="1"/>
  <c r="G22" i="4"/>
  <c r="B14" i="1"/>
  <c r="G13" i="1"/>
  <c r="D14" i="1" l="1"/>
  <c r="F14" i="1" s="1"/>
  <c r="O14" i="1"/>
  <c r="B24" i="4"/>
  <c r="C24" i="4" s="1"/>
  <c r="G23" i="4"/>
  <c r="B14" i="3"/>
  <c r="F13" i="3"/>
  <c r="G10" i="2"/>
  <c r="H10" i="2"/>
  <c r="B15" i="1"/>
  <c r="G14" i="1"/>
  <c r="D15" i="1" l="1"/>
  <c r="F15" i="1" s="1"/>
  <c r="O15" i="1"/>
  <c r="C11" i="2"/>
  <c r="F11" i="2" s="1"/>
  <c r="B11" i="2"/>
  <c r="C14" i="3"/>
  <c r="D14" i="3"/>
  <c r="E14" i="3" s="1"/>
  <c r="B25" i="4"/>
  <c r="C25" i="4" s="1"/>
  <c r="G24" i="4"/>
  <c r="B16" i="1"/>
  <c r="G15" i="1"/>
  <c r="D16" i="1" l="1"/>
  <c r="F16" i="1" s="1"/>
  <c r="O16" i="1"/>
  <c r="B26" i="4"/>
  <c r="C26" i="4" s="1"/>
  <c r="G25" i="4"/>
  <c r="B15" i="3"/>
  <c r="F14" i="3"/>
  <c r="D11" i="2"/>
  <c r="E11" i="2"/>
  <c r="B17" i="1"/>
  <c r="G16" i="1"/>
  <c r="D17" i="1" l="1"/>
  <c r="F17" i="1" s="1"/>
  <c r="O17" i="1"/>
  <c r="G11" i="2"/>
  <c r="H11" i="2"/>
  <c r="C15" i="3"/>
  <c r="D15" i="3"/>
  <c r="E15" i="3" s="1"/>
  <c r="B27" i="4"/>
  <c r="C27" i="4" s="1"/>
  <c r="G26" i="4"/>
  <c r="B18" i="1"/>
  <c r="G17" i="1"/>
  <c r="D18" i="1" l="1"/>
  <c r="F18" i="1" s="1"/>
  <c r="O18" i="1"/>
  <c r="B28" i="4"/>
  <c r="C28" i="4" s="1"/>
  <c r="G27" i="4"/>
  <c r="B16" i="3"/>
  <c r="F15" i="3"/>
  <c r="C12" i="2"/>
  <c r="F12" i="2" s="1"/>
  <c r="B12" i="2"/>
  <c r="B19" i="1"/>
  <c r="G18" i="1"/>
  <c r="D19" i="1" l="1"/>
  <c r="F19" i="1" s="1"/>
  <c r="O19" i="1"/>
  <c r="E12" i="2"/>
  <c r="D12" i="2"/>
  <c r="C16" i="3"/>
  <c r="D16" i="3"/>
  <c r="E16" i="3" s="1"/>
  <c r="B29" i="4"/>
  <c r="C29" i="4" s="1"/>
  <c r="G28" i="4"/>
  <c r="B20" i="1"/>
  <c r="G19" i="1"/>
  <c r="D20" i="1" l="1"/>
  <c r="F20" i="1" s="1"/>
  <c r="O20" i="1"/>
  <c r="B30" i="4"/>
  <c r="C30" i="4" s="1"/>
  <c r="G29" i="4"/>
  <c r="B17" i="3"/>
  <c r="F16" i="3"/>
  <c r="G12" i="2"/>
  <c r="C13" i="2" s="1"/>
  <c r="F13" i="2" s="1"/>
  <c r="H12" i="2"/>
  <c r="B13" i="2"/>
  <c r="B21" i="1"/>
  <c r="G20" i="1"/>
  <c r="D21" i="1" l="1"/>
  <c r="F21" i="1" s="1"/>
  <c r="O21" i="1"/>
  <c r="E13" i="2"/>
  <c r="D13" i="2"/>
  <c r="C17" i="3"/>
  <c r="D17" i="3"/>
  <c r="E17" i="3" s="1"/>
  <c r="B31" i="4"/>
  <c r="C31" i="4" s="1"/>
  <c r="G30" i="4"/>
  <c r="B22" i="1"/>
  <c r="G21" i="1"/>
  <c r="D22" i="1" l="1"/>
  <c r="F22" i="1" s="1"/>
  <c r="O22" i="1"/>
  <c r="B32" i="4"/>
  <c r="C32" i="4" s="1"/>
  <c r="G31" i="4"/>
  <c r="B18" i="3"/>
  <c r="F17" i="3"/>
  <c r="G13" i="2"/>
  <c r="C14" i="2" s="1"/>
  <c r="F14" i="2" s="1"/>
  <c r="H13" i="2"/>
  <c r="B14" i="2"/>
  <c r="B23" i="1"/>
  <c r="G22" i="1"/>
  <c r="D23" i="1" l="1"/>
  <c r="F23" i="1" s="1"/>
  <c r="O23" i="1"/>
  <c r="D14" i="2"/>
  <c r="E14" i="2"/>
  <c r="C18" i="3"/>
  <c r="D18" i="3"/>
  <c r="E18" i="3" s="1"/>
  <c r="B33" i="4"/>
  <c r="C33" i="4" s="1"/>
  <c r="G32" i="4"/>
  <c r="B24" i="1"/>
  <c r="G23" i="1"/>
  <c r="D24" i="1" l="1"/>
  <c r="F24" i="1" s="1"/>
  <c r="O24" i="1"/>
  <c r="B34" i="4"/>
  <c r="C34" i="4" s="1"/>
  <c r="G33" i="4"/>
  <c r="B19" i="3"/>
  <c r="F18" i="3"/>
  <c r="G14" i="2"/>
  <c r="H14" i="2"/>
  <c r="B25" i="1"/>
  <c r="G24" i="1"/>
  <c r="D25" i="1" l="1"/>
  <c r="F25" i="1" s="1"/>
  <c r="O25" i="1"/>
  <c r="C15" i="2"/>
  <c r="F15" i="2" s="1"/>
  <c r="B15" i="2"/>
  <c r="C19" i="3"/>
  <c r="D19" i="3"/>
  <c r="E19" i="3" s="1"/>
  <c r="B35" i="4"/>
  <c r="C35" i="4" s="1"/>
  <c r="G34" i="4"/>
  <c r="B26" i="1"/>
  <c r="G25" i="1"/>
  <c r="D26" i="1" l="1"/>
  <c r="F26" i="1" s="1"/>
  <c r="O26" i="1"/>
  <c r="B36" i="4"/>
  <c r="C36" i="4" s="1"/>
  <c r="G35" i="4"/>
  <c r="B20" i="3"/>
  <c r="F19" i="3"/>
  <c r="E15" i="2"/>
  <c r="D15" i="2"/>
  <c r="B27" i="1"/>
  <c r="G26" i="1"/>
  <c r="D27" i="1" l="1"/>
  <c r="F27" i="1" s="1"/>
  <c r="O27" i="1"/>
  <c r="G15" i="2"/>
  <c r="C16" i="2" s="1"/>
  <c r="F16" i="2" s="1"/>
  <c r="H15" i="2"/>
  <c r="B16" i="2"/>
  <c r="C20" i="3"/>
  <c r="D20" i="3"/>
  <c r="E20" i="3" s="1"/>
  <c r="B37" i="4"/>
  <c r="C37" i="4" s="1"/>
  <c r="G36" i="4"/>
  <c r="B28" i="1"/>
  <c r="G27" i="1"/>
  <c r="D28" i="1" l="1"/>
  <c r="F28" i="1" s="1"/>
  <c r="O28" i="1"/>
  <c r="B38" i="4"/>
  <c r="C38" i="4" s="1"/>
  <c r="G37" i="4"/>
  <c r="B21" i="3"/>
  <c r="F20" i="3"/>
  <c r="E16" i="2"/>
  <c r="D16" i="2"/>
  <c r="B29" i="1"/>
  <c r="G28" i="1"/>
  <c r="D29" i="1" l="1"/>
  <c r="F29" i="1" s="1"/>
  <c r="O29" i="1"/>
  <c r="G16" i="2"/>
  <c r="C17" i="2" s="1"/>
  <c r="F17" i="2" s="1"/>
  <c r="H16" i="2"/>
  <c r="B17" i="2"/>
  <c r="C21" i="3"/>
  <c r="D21" i="3"/>
  <c r="E21" i="3" s="1"/>
  <c r="B39" i="4"/>
  <c r="C39" i="4" s="1"/>
  <c r="G38" i="4"/>
  <c r="B30" i="1"/>
  <c r="G29" i="1"/>
  <c r="D30" i="1" l="1"/>
  <c r="F30" i="1" s="1"/>
  <c r="O30" i="1"/>
  <c r="B40" i="4"/>
  <c r="C40" i="4" s="1"/>
  <c r="G39" i="4"/>
  <c r="B22" i="3"/>
  <c r="F21" i="3"/>
  <c r="E17" i="2"/>
  <c r="D17" i="2"/>
  <c r="B31" i="1"/>
  <c r="G30" i="1"/>
  <c r="D31" i="1" l="1"/>
  <c r="F31" i="1" s="1"/>
  <c r="O31" i="1"/>
  <c r="G17" i="2"/>
  <c r="C18" i="2" s="1"/>
  <c r="F18" i="2" s="1"/>
  <c r="H17" i="2"/>
  <c r="B18" i="2"/>
  <c r="C22" i="3"/>
  <c r="D22" i="3"/>
  <c r="E22" i="3" s="1"/>
  <c r="F22" i="3" s="1"/>
  <c r="B41" i="4"/>
  <c r="C41" i="4" s="1"/>
  <c r="G40" i="4"/>
  <c r="B32" i="1"/>
  <c r="G31" i="1"/>
  <c r="D32" i="1" l="1"/>
  <c r="F32" i="1" s="1"/>
  <c r="O32" i="1"/>
  <c r="B42" i="4"/>
  <c r="C42" i="4" s="1"/>
  <c r="G41" i="4"/>
  <c r="E18" i="2"/>
  <c r="D18" i="2"/>
  <c r="B33" i="1"/>
  <c r="G32" i="1"/>
  <c r="D33" i="1" l="1"/>
  <c r="F33" i="1" s="1"/>
  <c r="O33" i="1"/>
  <c r="G18" i="2"/>
  <c r="C19" i="2" s="1"/>
  <c r="F19" i="2" s="1"/>
  <c r="H18" i="2"/>
  <c r="B19" i="2"/>
  <c r="B43" i="4"/>
  <c r="C43" i="4" s="1"/>
  <c r="G42" i="4"/>
  <c r="G33" i="1"/>
  <c r="B34" i="1"/>
  <c r="D34" i="1" l="1"/>
  <c r="F34" i="1" s="1"/>
  <c r="O34" i="1"/>
  <c r="B44" i="4"/>
  <c r="C44" i="4" s="1"/>
  <c r="G43" i="4"/>
  <c r="E19" i="2"/>
  <c r="D19" i="2"/>
  <c r="B35" i="1"/>
  <c r="G34" i="1"/>
  <c r="D35" i="1" l="1"/>
  <c r="F35" i="1" s="1"/>
  <c r="O35" i="1"/>
  <c r="G19" i="2"/>
  <c r="C20" i="2" s="1"/>
  <c r="F20" i="2" s="1"/>
  <c r="H19" i="2"/>
  <c r="B20" i="2"/>
  <c r="B45" i="4"/>
  <c r="C45" i="4" s="1"/>
  <c r="G44" i="4"/>
  <c r="B36" i="1"/>
  <c r="G35" i="1"/>
  <c r="D36" i="1" l="1"/>
  <c r="F36" i="1" s="1"/>
  <c r="O36" i="1"/>
  <c r="B46" i="4"/>
  <c r="C46" i="4" s="1"/>
  <c r="G45" i="4"/>
  <c r="E20" i="2"/>
  <c r="D20" i="2"/>
  <c r="B37" i="1"/>
  <c r="G36" i="1"/>
  <c r="D37" i="1" l="1"/>
  <c r="F37" i="1" s="1"/>
  <c r="O37" i="1"/>
  <c r="G20" i="2"/>
  <c r="C21" i="2" s="1"/>
  <c r="F21" i="2" s="1"/>
  <c r="H20" i="2"/>
  <c r="B21" i="2"/>
  <c r="B47" i="4"/>
  <c r="C47" i="4" s="1"/>
  <c r="G46" i="4"/>
  <c r="B38" i="1"/>
  <c r="G37" i="1"/>
  <c r="D38" i="1" l="1"/>
  <c r="F38" i="1" s="1"/>
  <c r="O38" i="1"/>
  <c r="B48" i="4"/>
  <c r="C48" i="4" s="1"/>
  <c r="G47" i="4"/>
  <c r="E21" i="2"/>
  <c r="D21" i="2"/>
  <c r="B39" i="1"/>
  <c r="G38" i="1"/>
  <c r="D39" i="1" l="1"/>
  <c r="F39" i="1" s="1"/>
  <c r="O39" i="1"/>
  <c r="G21" i="2"/>
  <c r="C22" i="2" s="1"/>
  <c r="F22" i="2" s="1"/>
  <c r="H21" i="2"/>
  <c r="B22" i="2"/>
  <c r="B49" i="4"/>
  <c r="C49" i="4" s="1"/>
  <c r="G48" i="4"/>
  <c r="B40" i="1"/>
  <c r="G39" i="1"/>
  <c r="D40" i="1" l="1"/>
  <c r="F40" i="1" s="1"/>
  <c r="O40" i="1"/>
  <c r="B50" i="4"/>
  <c r="C50" i="4" s="1"/>
  <c r="G49" i="4"/>
  <c r="E22" i="2"/>
  <c r="D22" i="2"/>
  <c r="B41" i="1"/>
  <c r="G40" i="1"/>
  <c r="D41" i="1" l="1"/>
  <c r="F41" i="1" s="1"/>
  <c r="O41" i="1"/>
  <c r="G22" i="2"/>
  <c r="C23" i="2" s="1"/>
  <c r="F23" i="2" s="1"/>
  <c r="H22" i="2"/>
  <c r="B23" i="2"/>
  <c r="B51" i="4"/>
  <c r="C51" i="4" s="1"/>
  <c r="G50" i="4"/>
  <c r="B42" i="1"/>
  <c r="G41" i="1"/>
  <c r="D42" i="1" l="1"/>
  <c r="F42" i="1" s="1"/>
  <c r="O42" i="1"/>
  <c r="B52" i="4"/>
  <c r="C52" i="4" s="1"/>
  <c r="G51" i="4"/>
  <c r="E23" i="2"/>
  <c r="D23" i="2"/>
  <c r="B43" i="1"/>
  <c r="G42" i="1"/>
  <c r="D43" i="1" l="1"/>
  <c r="F43" i="1" s="1"/>
  <c r="O43" i="1"/>
  <c r="G23" i="2"/>
  <c r="C24" i="2" s="1"/>
  <c r="F24" i="2" s="1"/>
  <c r="H23" i="2"/>
  <c r="B24" i="2"/>
  <c r="B53" i="4"/>
  <c r="C53" i="4" s="1"/>
  <c r="G52" i="4"/>
  <c r="B44" i="1"/>
  <c r="G43" i="1"/>
  <c r="D44" i="1" l="1"/>
  <c r="F44" i="1" s="1"/>
  <c r="O44" i="1"/>
  <c r="B54" i="4"/>
  <c r="C54" i="4" s="1"/>
  <c r="G53" i="4"/>
  <c r="E24" i="2"/>
  <c r="D24" i="2"/>
  <c r="B45" i="1"/>
  <c r="G44" i="1"/>
  <c r="D45" i="1" l="1"/>
  <c r="F45" i="1" s="1"/>
  <c r="O45" i="1"/>
  <c r="G24" i="2"/>
  <c r="C25" i="2" s="1"/>
  <c r="F25" i="2" s="1"/>
  <c r="H24" i="2"/>
  <c r="B25" i="2"/>
  <c r="B55" i="4"/>
  <c r="C55" i="4" s="1"/>
  <c r="G54" i="4"/>
  <c r="B46" i="1"/>
  <c r="G45" i="1"/>
  <c r="D46" i="1" l="1"/>
  <c r="F46" i="1" s="1"/>
  <c r="O46" i="1"/>
  <c r="B56" i="4"/>
  <c r="C56" i="4" s="1"/>
  <c r="G55" i="4"/>
  <c r="D25" i="2"/>
  <c r="E25" i="2"/>
  <c r="B47" i="1"/>
  <c r="G46" i="1"/>
  <c r="D47" i="1" l="1"/>
  <c r="F47" i="1" s="1"/>
  <c r="O47" i="1"/>
  <c r="G25" i="2"/>
  <c r="H25" i="2"/>
  <c r="B57" i="4"/>
  <c r="C57" i="4" s="1"/>
  <c r="G56" i="4"/>
  <c r="B48" i="1"/>
  <c r="G47" i="1"/>
  <c r="D48" i="1" l="1"/>
  <c r="F48" i="1" s="1"/>
  <c r="O48" i="1"/>
  <c r="B58" i="4"/>
  <c r="C58" i="4" s="1"/>
  <c r="G57" i="4"/>
  <c r="C26" i="2"/>
  <c r="F26" i="2" s="1"/>
  <c r="B26" i="2"/>
  <c r="B49" i="1"/>
  <c r="G48" i="1"/>
  <c r="D49" i="1" l="1"/>
  <c r="F49" i="1" s="1"/>
  <c r="O49" i="1"/>
  <c r="E26" i="2"/>
  <c r="D26" i="2"/>
  <c r="B59" i="4"/>
  <c r="C59" i="4" s="1"/>
  <c r="G58" i="4"/>
  <c r="G49" i="1"/>
  <c r="B50" i="1"/>
  <c r="D50" i="1" l="1"/>
  <c r="F50" i="1" s="1"/>
  <c r="O50" i="1"/>
  <c r="B60" i="4"/>
  <c r="C60" i="4" s="1"/>
  <c r="G59" i="4"/>
  <c r="G26" i="2"/>
  <c r="C27" i="2" s="1"/>
  <c r="F27" i="2" s="1"/>
  <c r="H26" i="2"/>
  <c r="B27" i="2"/>
  <c r="G50" i="1"/>
  <c r="B51" i="1"/>
  <c r="D51" i="1" l="1"/>
  <c r="F51" i="1" s="1"/>
  <c r="O51" i="1"/>
  <c r="E27" i="2"/>
  <c r="D27" i="2"/>
  <c r="B61" i="4"/>
  <c r="C61" i="4" s="1"/>
  <c r="G60" i="4"/>
  <c r="G51" i="1"/>
  <c r="B52" i="1"/>
  <c r="D52" i="1" l="1"/>
  <c r="F52" i="1" s="1"/>
  <c r="O52" i="1"/>
  <c r="B62" i="4"/>
  <c r="C62" i="4" s="1"/>
  <c r="G61" i="4"/>
  <c r="G27" i="2"/>
  <c r="C28" i="2" s="1"/>
  <c r="F28" i="2" s="1"/>
  <c r="H27" i="2"/>
  <c r="B28" i="2"/>
  <c r="B53" i="1"/>
  <c r="G52" i="1"/>
  <c r="D53" i="1" l="1"/>
  <c r="F53" i="1" s="1"/>
  <c r="O53" i="1"/>
  <c r="E28" i="2"/>
  <c r="D28" i="2"/>
  <c r="B63" i="4"/>
  <c r="C63" i="4" s="1"/>
  <c r="G62" i="4"/>
  <c r="B54" i="1"/>
  <c r="G53" i="1"/>
  <c r="D54" i="1" l="1"/>
  <c r="F54" i="1" s="1"/>
  <c r="O54" i="1"/>
  <c r="B64" i="4"/>
  <c r="C64" i="4" s="1"/>
  <c r="G63" i="4"/>
  <c r="G28" i="2"/>
  <c r="C29" i="2" s="1"/>
  <c r="F29" i="2" s="1"/>
  <c r="H28" i="2"/>
  <c r="B29" i="2"/>
  <c r="G54" i="1"/>
  <c r="B55" i="1"/>
  <c r="D55" i="1" l="1"/>
  <c r="F55" i="1" s="1"/>
  <c r="O55" i="1"/>
  <c r="E29" i="2"/>
  <c r="D29" i="2"/>
  <c r="B65" i="4"/>
  <c r="C65" i="4" s="1"/>
  <c r="G64" i="4"/>
  <c r="B56" i="1"/>
  <c r="G55" i="1"/>
  <c r="D56" i="1" l="1"/>
  <c r="F56" i="1" s="1"/>
  <c r="O56" i="1"/>
  <c r="B66" i="4"/>
  <c r="C66" i="4" s="1"/>
  <c r="G65" i="4"/>
  <c r="G29" i="2"/>
  <c r="C30" i="2" s="1"/>
  <c r="F30" i="2" s="1"/>
  <c r="H29" i="2"/>
  <c r="B30" i="2"/>
  <c r="D30" i="2" s="1"/>
  <c r="B57" i="1"/>
  <c r="G56" i="1"/>
  <c r="D57" i="1" l="1"/>
  <c r="F57" i="1" s="1"/>
  <c r="O57" i="1"/>
  <c r="E30" i="2"/>
  <c r="B67" i="4"/>
  <c r="C67" i="4" s="1"/>
  <c r="G66" i="4"/>
  <c r="B58" i="1"/>
  <c r="G57" i="1"/>
  <c r="D58" i="1" l="1"/>
  <c r="F58" i="1" s="1"/>
  <c r="O58" i="1"/>
  <c r="B68" i="4"/>
  <c r="C68" i="4" s="1"/>
  <c r="G67" i="4"/>
  <c r="G30" i="2"/>
  <c r="H30" i="2"/>
  <c r="B59" i="1"/>
  <c r="G58" i="1"/>
  <c r="D59" i="1" l="1"/>
  <c r="F59" i="1" s="1"/>
  <c r="O59" i="1"/>
  <c r="C31" i="2"/>
  <c r="F31" i="2" s="1"/>
  <c r="B31" i="2"/>
  <c r="B69" i="4"/>
  <c r="C69" i="4" s="1"/>
  <c r="G68" i="4"/>
  <c r="G59" i="1"/>
  <c r="B60" i="1"/>
  <c r="D60" i="1" l="1"/>
  <c r="F60" i="1" s="1"/>
  <c r="O60" i="1"/>
  <c r="B70" i="4"/>
  <c r="C70" i="4" s="1"/>
  <c r="G69" i="4"/>
  <c r="E31" i="2"/>
  <c r="D31" i="2"/>
  <c r="B61" i="1"/>
  <c r="G60" i="1"/>
  <c r="D61" i="1" l="1"/>
  <c r="F61" i="1" s="1"/>
  <c r="O61" i="1"/>
  <c r="G31" i="2"/>
  <c r="C32" i="2" s="1"/>
  <c r="F32" i="2" s="1"/>
  <c r="H31" i="2"/>
  <c r="B32" i="2"/>
  <c r="B71" i="4"/>
  <c r="C71" i="4" s="1"/>
  <c r="G70" i="4"/>
  <c r="B62" i="1"/>
  <c r="G61" i="1"/>
  <c r="D62" i="1" l="1"/>
  <c r="F62" i="1" s="1"/>
  <c r="O62" i="1"/>
  <c r="B72" i="4"/>
  <c r="C72" i="4" s="1"/>
  <c r="G72" i="4" s="1"/>
  <c r="G71" i="4"/>
  <c r="E32" i="2"/>
  <c r="D32" i="2"/>
  <c r="B63" i="1"/>
  <c r="G62" i="1"/>
  <c r="D63" i="1" l="1"/>
  <c r="F63" i="1" s="1"/>
  <c r="O63" i="1"/>
  <c r="G32" i="2"/>
  <c r="C33" i="2" s="1"/>
  <c r="F33" i="2" s="1"/>
  <c r="H32" i="2"/>
  <c r="B33" i="2"/>
  <c r="B64" i="1"/>
  <c r="G63" i="1"/>
  <c r="D64" i="1" l="1"/>
  <c r="F64" i="1" s="1"/>
  <c r="O64" i="1"/>
  <c r="D33" i="2"/>
  <c r="E33" i="2"/>
  <c r="B65" i="1"/>
  <c r="G64" i="1"/>
  <c r="D65" i="1" l="1"/>
  <c r="F65" i="1" s="1"/>
  <c r="O65" i="1"/>
  <c r="G33" i="2"/>
  <c r="H33" i="2"/>
  <c r="G65" i="1"/>
  <c r="B66" i="1"/>
  <c r="D66" i="1" l="1"/>
  <c r="F66" i="1" s="1"/>
  <c r="O66" i="1"/>
  <c r="C34" i="2"/>
  <c r="F34" i="2" s="1"/>
  <c r="B34" i="2"/>
  <c r="G66" i="1"/>
  <c r="B67" i="1"/>
  <c r="D67" i="1" l="1"/>
  <c r="F67" i="1" s="1"/>
  <c r="O67" i="1"/>
  <c r="D34" i="2"/>
  <c r="E34" i="2"/>
  <c r="G67" i="1"/>
  <c r="B68" i="1"/>
  <c r="D68" i="1" l="1"/>
  <c r="F68" i="1" s="1"/>
  <c r="O68" i="1"/>
  <c r="G34" i="2"/>
  <c r="H34" i="2"/>
  <c r="G68" i="1"/>
  <c r="B69" i="1"/>
  <c r="D69" i="1" l="1"/>
  <c r="F69" i="1" s="1"/>
  <c r="O69" i="1"/>
  <c r="C35" i="2"/>
  <c r="F35" i="2" s="1"/>
  <c r="B35" i="2"/>
  <c r="B70" i="1"/>
  <c r="G69" i="1"/>
  <c r="D70" i="1" l="1"/>
  <c r="F70" i="1" s="1"/>
  <c r="O70" i="1"/>
  <c r="D35" i="2"/>
  <c r="E35" i="2"/>
  <c r="G70" i="1"/>
  <c r="B71" i="1"/>
  <c r="D71" i="1" l="1"/>
  <c r="F71" i="1" s="1"/>
  <c r="O71" i="1"/>
  <c r="G35" i="2"/>
  <c r="H35" i="2"/>
  <c r="G71" i="1"/>
  <c r="B72" i="1"/>
  <c r="D72" i="1" l="1"/>
  <c r="F72" i="1" s="1"/>
  <c r="O72" i="1"/>
  <c r="C36" i="2"/>
  <c r="F36" i="2" s="1"/>
  <c r="B36" i="2"/>
  <c r="B73" i="1"/>
  <c r="G72" i="1"/>
  <c r="D73" i="1" l="1"/>
  <c r="F73" i="1" s="1"/>
  <c r="O73" i="1"/>
  <c r="E36" i="2"/>
  <c r="D36" i="2"/>
  <c r="B74" i="1"/>
  <c r="G73" i="1"/>
  <c r="D74" i="1" l="1"/>
  <c r="F74" i="1" s="1"/>
  <c r="O74" i="1"/>
  <c r="G36" i="2"/>
  <c r="C37" i="2" s="1"/>
  <c r="F37" i="2" s="1"/>
  <c r="H36" i="2"/>
  <c r="B37" i="2"/>
  <c r="G74" i="1"/>
  <c r="B75" i="1"/>
  <c r="D75" i="1" l="1"/>
  <c r="F75" i="1" s="1"/>
  <c r="O75" i="1"/>
  <c r="D37" i="2"/>
  <c r="E37" i="2"/>
  <c r="G75" i="1"/>
  <c r="B76" i="1"/>
  <c r="D76" i="1" l="1"/>
  <c r="F76" i="1" s="1"/>
  <c r="O76" i="1"/>
  <c r="G37" i="2"/>
  <c r="H37" i="2"/>
  <c r="G76" i="1"/>
  <c r="B77" i="1"/>
  <c r="D77" i="1" l="1"/>
  <c r="F77" i="1" s="1"/>
  <c r="O77" i="1"/>
  <c r="C38" i="2"/>
  <c r="F38" i="2" s="1"/>
  <c r="B38" i="2"/>
  <c r="B78" i="1"/>
  <c r="G77" i="1"/>
  <c r="D78" i="1" l="1"/>
  <c r="F78" i="1" s="1"/>
  <c r="O78" i="1"/>
  <c r="E38" i="2"/>
  <c r="D38" i="2"/>
  <c r="G78" i="1"/>
  <c r="B79" i="1"/>
  <c r="D79" i="1" l="1"/>
  <c r="F79" i="1" s="1"/>
  <c r="O79" i="1"/>
  <c r="G38" i="2"/>
  <c r="C39" i="2" s="1"/>
  <c r="F39" i="2" s="1"/>
  <c r="H38" i="2"/>
  <c r="B39" i="2"/>
  <c r="G79" i="1"/>
  <c r="B80" i="1"/>
  <c r="D80" i="1" l="1"/>
  <c r="F80" i="1" s="1"/>
  <c r="O80" i="1"/>
  <c r="D39" i="2"/>
  <c r="E39" i="2"/>
  <c r="G80" i="1"/>
  <c r="B81" i="1"/>
  <c r="D81" i="1" l="1"/>
  <c r="F81" i="1" s="1"/>
  <c r="O81" i="1"/>
  <c r="G39" i="2"/>
  <c r="H39" i="2"/>
  <c r="B82" i="1"/>
  <c r="G81" i="1"/>
  <c r="D82" i="1" l="1"/>
  <c r="F82" i="1" s="1"/>
  <c r="O82" i="1"/>
  <c r="C40" i="2"/>
  <c r="F40" i="2" s="1"/>
  <c r="B40" i="2"/>
  <c r="G82" i="1"/>
  <c r="B83" i="1"/>
  <c r="D83" i="1" l="1"/>
  <c r="F83" i="1" s="1"/>
  <c r="O83" i="1"/>
  <c r="E40" i="2"/>
  <c r="D40" i="2"/>
  <c r="G83" i="1"/>
  <c r="B84" i="1"/>
  <c r="D84" i="1" l="1"/>
  <c r="F84" i="1" s="1"/>
  <c r="O84" i="1"/>
  <c r="G40" i="2"/>
  <c r="C41" i="2" s="1"/>
  <c r="F41" i="2" s="1"/>
  <c r="H40" i="2"/>
  <c r="B41" i="2"/>
  <c r="G84" i="1"/>
  <c r="B85" i="1"/>
  <c r="D85" i="1" l="1"/>
  <c r="F85" i="1" s="1"/>
  <c r="O85" i="1"/>
  <c r="D41" i="2"/>
  <c r="E41" i="2"/>
  <c r="B86" i="1"/>
  <c r="G85" i="1"/>
  <c r="D86" i="1" l="1"/>
  <c r="F86" i="1" s="1"/>
  <c r="O86" i="1"/>
  <c r="G41" i="2"/>
  <c r="H41" i="2"/>
  <c r="G86" i="1"/>
  <c r="B87" i="1"/>
  <c r="D87" i="1" l="1"/>
  <c r="F87" i="1" s="1"/>
  <c r="O87" i="1"/>
  <c r="C42" i="2"/>
  <c r="F42" i="2" s="1"/>
  <c r="B42" i="2"/>
  <c r="G87" i="1"/>
  <c r="B88" i="1"/>
  <c r="D88" i="1" l="1"/>
  <c r="F88" i="1" s="1"/>
  <c r="O88" i="1"/>
  <c r="E42" i="2"/>
  <c r="D42" i="2"/>
  <c r="G88" i="1"/>
  <c r="B89" i="1"/>
  <c r="D89" i="1" l="1"/>
  <c r="F89" i="1" s="1"/>
  <c r="O89" i="1"/>
  <c r="G42" i="2"/>
  <c r="C43" i="2" s="1"/>
  <c r="F43" i="2" s="1"/>
  <c r="H42" i="2"/>
  <c r="B43" i="2"/>
  <c r="B90" i="1"/>
  <c r="G89" i="1"/>
  <c r="D90" i="1" l="1"/>
  <c r="F90" i="1" s="1"/>
  <c r="G90" i="1" s="1"/>
  <c r="O90" i="1"/>
  <c r="D43" i="2"/>
  <c r="E43" i="2"/>
  <c r="G43" i="2" l="1"/>
  <c r="H43" i="2"/>
  <c r="C44" i="2" l="1"/>
  <c r="F44" i="2" s="1"/>
  <c r="B44" i="2"/>
  <c r="E44" i="2" l="1"/>
  <c r="D44" i="2"/>
  <c r="G44" i="2" l="1"/>
  <c r="C45" i="2" s="1"/>
  <c r="F45" i="2" s="1"/>
  <c r="H44" i="2"/>
  <c r="B45" i="2"/>
  <c r="D45" i="2" l="1"/>
  <c r="E45" i="2"/>
  <c r="G45" i="2" l="1"/>
  <c r="H45" i="2"/>
  <c r="C46" i="2" l="1"/>
  <c r="F46" i="2" s="1"/>
  <c r="B46" i="2"/>
  <c r="E46" i="2" l="1"/>
  <c r="D46" i="2"/>
  <c r="G46" i="2" l="1"/>
  <c r="C47" i="2" s="1"/>
  <c r="F47" i="2" s="1"/>
  <c r="H46" i="2"/>
  <c r="B47" i="2"/>
  <c r="D47" i="2" l="1"/>
  <c r="E47" i="2"/>
  <c r="G47" i="2" l="1"/>
  <c r="H47" i="2"/>
  <c r="C48" i="2" l="1"/>
  <c r="F48" i="2" s="1"/>
  <c r="B48" i="2"/>
  <c r="E48" i="2" l="1"/>
  <c r="D48" i="2"/>
  <c r="G48" i="2" l="1"/>
  <c r="C49" i="2" s="1"/>
  <c r="F49" i="2" s="1"/>
  <c r="H48" i="2"/>
  <c r="B49" i="2"/>
  <c r="D49" i="2" l="1"/>
  <c r="E49" i="2"/>
  <c r="G49" i="2" l="1"/>
  <c r="H49" i="2"/>
  <c r="C50" i="2" l="1"/>
  <c r="F50" i="2" s="1"/>
  <c r="B50" i="2"/>
  <c r="E50" i="2" l="1"/>
  <c r="D50" i="2"/>
  <c r="G50" i="2" l="1"/>
  <c r="C51" i="2" s="1"/>
  <c r="F51" i="2" s="1"/>
  <c r="H50" i="2"/>
  <c r="B51" i="2"/>
  <c r="D51" i="2" l="1"/>
  <c r="E51" i="2"/>
  <c r="G51" i="2" l="1"/>
  <c r="H51" i="2"/>
  <c r="C52" i="2" l="1"/>
  <c r="F52" i="2" s="1"/>
  <c r="B52" i="2"/>
  <c r="E52" i="2" l="1"/>
  <c r="D52" i="2"/>
  <c r="G52" i="2" l="1"/>
  <c r="H52" i="2"/>
</calcChain>
</file>

<file path=xl/sharedStrings.xml><?xml version="1.0" encoding="utf-8"?>
<sst xmlns="http://schemas.openxmlformats.org/spreadsheetml/2006/main" count="53" uniqueCount="42">
  <si>
    <t>a (начало)</t>
  </si>
  <si>
    <t>b (конец)</t>
  </si>
  <si>
    <t>c (середина)</t>
  </si>
  <si>
    <t>f(a)</t>
  </si>
  <si>
    <t>f(b)</t>
  </si>
  <si>
    <t>f(c)</t>
  </si>
  <si>
    <t>abs</t>
  </si>
  <si>
    <t>a</t>
  </si>
  <si>
    <t>b</t>
  </si>
  <si>
    <t>c</t>
  </si>
  <si>
    <t>f( c )</t>
  </si>
  <si>
    <t>приближеине</t>
  </si>
  <si>
    <t>график функции</t>
  </si>
  <si>
    <t>delta</t>
  </si>
  <si>
    <t>x</t>
  </si>
  <si>
    <t>y</t>
  </si>
  <si>
    <t>x0 = 1,5</t>
  </si>
  <si>
    <t>f</t>
  </si>
  <si>
    <t>ф(x) = x^(1/3)</t>
  </si>
  <si>
    <t>погрешность</t>
  </si>
  <si>
    <t>условия:</t>
  </si>
  <si>
    <t>f(x) = x^3-x</t>
  </si>
  <si>
    <t>x0=2</t>
  </si>
  <si>
    <t>f''(x) = 6x</t>
  </si>
  <si>
    <t>проекция касательной</t>
  </si>
  <si>
    <t>f'(x)= 3x^2-1</t>
  </si>
  <si>
    <t>x0</t>
  </si>
  <si>
    <t>f(x0)</t>
  </si>
  <si>
    <t>f'(x0)</t>
  </si>
  <si>
    <t>в f(x0) на ОХ</t>
  </si>
  <si>
    <t xml:space="preserve">условия фурье </t>
  </si>
  <si>
    <t xml:space="preserve">н. и д. условия </t>
  </si>
  <si>
    <t>f(x)</t>
  </si>
  <si>
    <t>f'(x)</t>
  </si>
  <si>
    <t>f''(x)</t>
  </si>
  <si>
    <t xml:space="preserve">графики погрешностей </t>
  </si>
  <si>
    <t xml:space="preserve">для графиков </t>
  </si>
  <si>
    <t>y'</t>
  </si>
  <si>
    <t>м.хорд</t>
  </si>
  <si>
    <t>м.п.д.</t>
  </si>
  <si>
    <t>м.п.и.</t>
  </si>
  <si>
    <t>м.ньютона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</si>
</sst>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'мтд пол. диления'!$G$1</c:f>
              <c:strCache>
                <c:ptCount val="1"/>
                <c:pt idx="0">
                  <c:v>f(c)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'мтд пол. диления'!$C$2:$C$38</c:f>
              <c:numCache>
                <c:formatCode>General</c:formatCode>
                <c:ptCount val="37"/>
                <c:pt idx="0">
                  <c:v>2</c:v>
                </c:pt>
                <c:pt idx="1">
                  <c:v>1.25</c:v>
                </c:pt>
                <c:pt idx="2">
                  <c:v>1.25</c:v>
                </c:pt>
                <c:pt idx="3">
                  <c:v>1.0625</c:v>
                </c:pt>
                <c:pt idx="4">
                  <c:v>1.0625</c:v>
                </c:pt>
                <c:pt idx="5">
                  <c:v>1.015625</c:v>
                </c:pt>
                <c:pt idx="6">
                  <c:v>1.015625</c:v>
                </c:pt>
                <c:pt idx="7">
                  <c:v>1.00390625</c:v>
                </c:pt>
                <c:pt idx="8">
                  <c:v>1.00390625</c:v>
                </c:pt>
                <c:pt idx="9">
                  <c:v>1.0009765625</c:v>
                </c:pt>
                <c:pt idx="10">
                  <c:v>1.0009765625</c:v>
                </c:pt>
                <c:pt idx="11">
                  <c:v>1.000244140625</c:v>
                </c:pt>
                <c:pt idx="12">
                  <c:v>1.000244140625</c:v>
                </c:pt>
                <c:pt idx="13">
                  <c:v>1.00006103515625</c:v>
                </c:pt>
                <c:pt idx="14">
                  <c:v>1.00006103515625</c:v>
                </c:pt>
                <c:pt idx="15">
                  <c:v>1.0000152587890625</c:v>
                </c:pt>
                <c:pt idx="16">
                  <c:v>1.0000152587890625</c:v>
                </c:pt>
                <c:pt idx="17">
                  <c:v>1.0000038146972656</c:v>
                </c:pt>
                <c:pt idx="18">
                  <c:v>1.0000038146972656</c:v>
                </c:pt>
                <c:pt idx="19">
                  <c:v>1.0000009536743164</c:v>
                </c:pt>
                <c:pt idx="20">
                  <c:v>1.0000009536743164</c:v>
                </c:pt>
                <c:pt idx="21">
                  <c:v>1.0000002384185791</c:v>
                </c:pt>
                <c:pt idx="22">
                  <c:v>1.0000002384185791</c:v>
                </c:pt>
                <c:pt idx="23">
                  <c:v>1.0000000596046448</c:v>
                </c:pt>
                <c:pt idx="24">
                  <c:v>1.0000000596046448</c:v>
                </c:pt>
                <c:pt idx="25">
                  <c:v>1.0000000149011612</c:v>
                </c:pt>
                <c:pt idx="26">
                  <c:v>1.0000000149011612</c:v>
                </c:pt>
                <c:pt idx="27">
                  <c:v>1.0000000037252903</c:v>
                </c:pt>
                <c:pt idx="28">
                  <c:v>1.0000000037252903</c:v>
                </c:pt>
                <c:pt idx="29">
                  <c:v>1.0000000009313226</c:v>
                </c:pt>
                <c:pt idx="30">
                  <c:v>1.0000000009313226</c:v>
                </c:pt>
                <c:pt idx="31">
                  <c:v>1.0000000002328306</c:v>
                </c:pt>
                <c:pt idx="32">
                  <c:v>1.0000000002328306</c:v>
                </c:pt>
                <c:pt idx="33">
                  <c:v>1.0000000000582077</c:v>
                </c:pt>
                <c:pt idx="34">
                  <c:v>1.0000000000582077</c:v>
                </c:pt>
                <c:pt idx="35">
                  <c:v>1.0000000000145519</c:v>
                </c:pt>
                <c:pt idx="36">
                  <c:v>1.0000000000145519</c:v>
                </c:pt>
              </c:numCache>
            </c:numRef>
          </c:xVal>
          <c:yVal>
            <c:numRef>
              <c:f>'мтд пол. диления'!$F$2:$F$38</c:f>
              <c:numCache>
                <c:formatCode>General</c:formatCode>
                <c:ptCount val="37"/>
                <c:pt idx="0">
                  <c:v>6</c:v>
                </c:pt>
                <c:pt idx="1">
                  <c:v>0.703125</c:v>
                </c:pt>
                <c:pt idx="2">
                  <c:v>0.703125</c:v>
                </c:pt>
                <c:pt idx="3">
                  <c:v>0.136962890625</c:v>
                </c:pt>
                <c:pt idx="4">
                  <c:v>0.136962890625</c:v>
                </c:pt>
                <c:pt idx="5">
                  <c:v>3.1986236572265625E-2</c:v>
                </c:pt>
                <c:pt idx="6">
                  <c:v>3.1986236572265625E-2</c:v>
                </c:pt>
                <c:pt idx="7">
                  <c:v>7.8583359718322754E-3</c:v>
                </c:pt>
                <c:pt idx="8">
                  <c:v>7.8583359718322754E-3</c:v>
                </c:pt>
                <c:pt idx="9">
                  <c:v>1.9559869542717934E-3</c:v>
                </c:pt>
                <c:pt idx="10">
                  <c:v>1.9559869542717934E-3</c:v>
                </c:pt>
                <c:pt idx="11">
                  <c:v>4.884600784862414E-4</c:v>
                </c:pt>
                <c:pt idx="12">
                  <c:v>4.884600784862414E-4</c:v>
                </c:pt>
                <c:pt idx="13">
                  <c:v>1.2208148859826906E-4</c:v>
                </c:pt>
                <c:pt idx="14">
                  <c:v>1.2208148859826906E-4</c:v>
                </c:pt>
                <c:pt idx="15">
                  <c:v>3.0518276620483675E-5</c:v>
                </c:pt>
                <c:pt idx="16">
                  <c:v>3.0518276620483675E-5</c:v>
                </c:pt>
                <c:pt idx="17">
                  <c:v>7.6294381869956851E-6</c:v>
                </c:pt>
                <c:pt idx="18">
                  <c:v>7.6294381869956851E-6</c:v>
                </c:pt>
                <c:pt idx="19">
                  <c:v>1.9073513612966053E-6</c:v>
                </c:pt>
                <c:pt idx="20">
                  <c:v>1.9073513612966053E-6</c:v>
                </c:pt>
                <c:pt idx="21">
                  <c:v>4.7683732873338158E-7</c:v>
                </c:pt>
                <c:pt idx="22">
                  <c:v>4.7683732873338158E-7</c:v>
                </c:pt>
                <c:pt idx="23">
                  <c:v>1.1920930020892229E-7</c:v>
                </c:pt>
                <c:pt idx="24">
                  <c:v>1.1920930020892229E-7</c:v>
                </c:pt>
                <c:pt idx="25">
                  <c:v>2.9802323053829127E-8</c:v>
                </c:pt>
                <c:pt idx="26">
                  <c:v>2.9802323053829127E-8</c:v>
                </c:pt>
                <c:pt idx="27">
                  <c:v>7.4505805969238281E-9</c:v>
                </c:pt>
                <c:pt idx="28">
                  <c:v>7.4505805969238281E-9</c:v>
                </c:pt>
                <c:pt idx="29">
                  <c:v>1.862645149230957E-9</c:v>
                </c:pt>
                <c:pt idx="30">
                  <c:v>1.862645149230957E-9</c:v>
                </c:pt>
                <c:pt idx="31">
                  <c:v>4.6566128730773926E-10</c:v>
                </c:pt>
                <c:pt idx="32">
                  <c:v>4.6566128730773926E-10</c:v>
                </c:pt>
                <c:pt idx="33">
                  <c:v>1.1641532182693481E-10</c:v>
                </c:pt>
                <c:pt idx="34">
                  <c:v>1.1641532182693481E-10</c:v>
                </c:pt>
                <c:pt idx="35">
                  <c:v>2.9103830456733704E-11</c:v>
                </c:pt>
                <c:pt idx="36">
                  <c:v>2.9103830456733704E-11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4B-41DE-B9B2-4B008B691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407568"/>
        <c:axId val="848408400"/>
      </c:scatterChart>
      <c:valAx>
        <c:axId val="84840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08400"/>
        <c:crosses val="autoZero"/>
        <c:crossBetween val="midCat"/>
      </c:valAx>
      <c:valAx>
        <c:axId val="84840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0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'мтд пол. диления'!$AC$8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0A4-4820-A427-927367773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407568"/>
        <c:axId val="848408400"/>
      </c:scatterChart>
      <c:valAx>
        <c:axId val="84840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08400"/>
        <c:crosses val="autoZero"/>
        <c:crossBetween val="midCat"/>
      </c:valAx>
      <c:valAx>
        <c:axId val="84840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0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погрешность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'мтд пол. диления'!$A$2:$A$91</c:f>
              <c:numCache>
                <c:formatCode>General</c:formatCode>
                <c:ptCount val="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numCache>
            </c:numRef>
          </c:xVal>
          <c:yVal>
            <c:numRef>
              <c:f>'мтд пол. диления'!$H$2:$H$91</c:f>
              <c:numCache>
                <c:formatCode>General</c:formatCode>
                <c:ptCount val="90"/>
                <c:pt idx="0">
                  <c:v>0.25</c:v>
                </c:pt>
                <c:pt idx="1">
                  <c:v>0.125</c:v>
                </c:pt>
                <c:pt idx="2">
                  <c:v>6.25E-2</c:v>
                </c:pt>
                <c:pt idx="3">
                  <c:v>3.125E-2</c:v>
                </c:pt>
                <c:pt idx="4">
                  <c:v>1.5625E-2</c:v>
                </c:pt>
                <c:pt idx="5">
                  <c:v>7.8125E-3</c:v>
                </c:pt>
                <c:pt idx="6">
                  <c:v>3.90625E-3</c:v>
                </c:pt>
                <c:pt idx="7">
                  <c:v>1.953125E-3</c:v>
                </c:pt>
                <c:pt idx="8">
                  <c:v>9.765625E-4</c:v>
                </c:pt>
                <c:pt idx="9">
                  <c:v>4.8828125E-4</c:v>
                </c:pt>
                <c:pt idx="10">
                  <c:v>2.44140625E-4</c:v>
                </c:pt>
                <c:pt idx="11">
                  <c:v>1.220703125E-4</c:v>
                </c:pt>
                <c:pt idx="12">
                  <c:v>6.103515625E-5</c:v>
                </c:pt>
                <c:pt idx="13">
                  <c:v>3.0517578125E-5</c:v>
                </c:pt>
                <c:pt idx="14">
                  <c:v>1.52587890625E-5</c:v>
                </c:pt>
                <c:pt idx="15">
                  <c:v>7.62939453125E-6</c:v>
                </c:pt>
                <c:pt idx="16">
                  <c:v>3.814697265625E-6</c:v>
                </c:pt>
                <c:pt idx="17">
                  <c:v>1.9073486328125E-6</c:v>
                </c:pt>
                <c:pt idx="18">
                  <c:v>9.5367431640625E-7</c:v>
                </c:pt>
                <c:pt idx="19">
                  <c:v>4.76837158203125E-7</c:v>
                </c:pt>
                <c:pt idx="20">
                  <c:v>2.384185791015625E-7</c:v>
                </c:pt>
                <c:pt idx="21">
                  <c:v>1.1920928955078125E-7</c:v>
                </c:pt>
                <c:pt idx="22">
                  <c:v>5.9604644775390625E-8</c:v>
                </c:pt>
                <c:pt idx="23">
                  <c:v>2.9802322387695313E-8</c:v>
                </c:pt>
                <c:pt idx="24">
                  <c:v>1.4901161193847656E-8</c:v>
                </c:pt>
                <c:pt idx="25">
                  <c:v>7.4505805969238281E-9</c:v>
                </c:pt>
                <c:pt idx="26">
                  <c:v>3.7252902984619141E-9</c:v>
                </c:pt>
                <c:pt idx="27">
                  <c:v>1.862645149230957E-9</c:v>
                </c:pt>
                <c:pt idx="28">
                  <c:v>9.3132257461547852E-10</c:v>
                </c:pt>
                <c:pt idx="29">
                  <c:v>4.6566128730773926E-10</c:v>
                </c:pt>
                <c:pt idx="30">
                  <c:v>2.3283064365386963E-10</c:v>
                </c:pt>
                <c:pt idx="31">
                  <c:v>1.1641532182693481E-10</c:v>
                </c:pt>
                <c:pt idx="32">
                  <c:v>5.8207660913467407E-11</c:v>
                </c:pt>
                <c:pt idx="33">
                  <c:v>2.9103830456733704E-11</c:v>
                </c:pt>
                <c:pt idx="34">
                  <c:v>1.4551915228366852E-11</c:v>
                </c:pt>
                <c:pt idx="35">
                  <c:v>7.2759576141834259E-12</c:v>
                </c:pt>
                <c:pt idx="36">
                  <c:v>3.637978807091713E-12</c:v>
                </c:pt>
                <c:pt idx="37">
                  <c:v>1.8189894035458565E-12</c:v>
                </c:pt>
                <c:pt idx="38">
                  <c:v>9.0949470177292824E-13</c:v>
                </c:pt>
                <c:pt idx="39">
                  <c:v>4.5474735088646412E-13</c:v>
                </c:pt>
                <c:pt idx="40">
                  <c:v>2.2737367544323206E-13</c:v>
                </c:pt>
                <c:pt idx="41">
                  <c:v>1.1368683772161603E-13</c:v>
                </c:pt>
                <c:pt idx="42">
                  <c:v>5.6843418860808015E-14</c:v>
                </c:pt>
                <c:pt idx="43">
                  <c:v>2.8421709430404007E-14</c:v>
                </c:pt>
                <c:pt idx="44">
                  <c:v>1.4210854715202004E-14</c:v>
                </c:pt>
                <c:pt idx="45">
                  <c:v>7.1054273576010019E-15</c:v>
                </c:pt>
                <c:pt idx="46">
                  <c:v>3.5527136788005009E-15</c:v>
                </c:pt>
                <c:pt idx="47">
                  <c:v>1.7763568394002505E-15</c:v>
                </c:pt>
                <c:pt idx="48">
                  <c:v>8.8817841970012523E-16</c:v>
                </c:pt>
                <c:pt idx="49">
                  <c:v>4.4408920985006262E-16</c:v>
                </c:pt>
                <c:pt idx="50">
                  <c:v>2.2204460492503131E-16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4E-407A-A57D-EF36718D9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786464"/>
        <c:axId val="1051781056"/>
      </c:scatterChart>
      <c:valAx>
        <c:axId val="105178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781056"/>
        <c:crosses val="autoZero"/>
        <c:crossBetween val="midCat"/>
      </c:valAx>
      <c:valAx>
        <c:axId val="105178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78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'мтд пол. диления'!$D$1</c:f>
              <c:strCache>
                <c:ptCount val="1"/>
                <c:pt idx="0">
                  <c:v>c (середина)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'мтд пол. диления'!$D$2:$D$52</c:f>
              <c:numCache>
                <c:formatCode>General</c:formatCode>
                <c:ptCount val="51"/>
                <c:pt idx="0">
                  <c:v>1.25</c:v>
                </c:pt>
                <c:pt idx="1">
                  <c:v>0.875</c:v>
                </c:pt>
                <c:pt idx="2">
                  <c:v>1.0625</c:v>
                </c:pt>
                <c:pt idx="3">
                  <c:v>0.96875</c:v>
                </c:pt>
                <c:pt idx="4">
                  <c:v>1.015625</c:v>
                </c:pt>
                <c:pt idx="5">
                  <c:v>0.9921875</c:v>
                </c:pt>
                <c:pt idx="6">
                  <c:v>1.00390625</c:v>
                </c:pt>
                <c:pt idx="7">
                  <c:v>0.998046875</c:v>
                </c:pt>
                <c:pt idx="8">
                  <c:v>1.0009765625</c:v>
                </c:pt>
                <c:pt idx="9">
                  <c:v>0.99951171875</c:v>
                </c:pt>
                <c:pt idx="10">
                  <c:v>1.000244140625</c:v>
                </c:pt>
                <c:pt idx="11">
                  <c:v>0.9998779296875</c:v>
                </c:pt>
                <c:pt idx="12">
                  <c:v>1.00006103515625</c:v>
                </c:pt>
                <c:pt idx="13">
                  <c:v>0.999969482421875</c:v>
                </c:pt>
                <c:pt idx="14">
                  <c:v>1.0000152587890625</c:v>
                </c:pt>
                <c:pt idx="15">
                  <c:v>0.99999237060546875</c:v>
                </c:pt>
                <c:pt idx="16">
                  <c:v>1.0000038146972656</c:v>
                </c:pt>
                <c:pt idx="17">
                  <c:v>0.99999809265136719</c:v>
                </c:pt>
                <c:pt idx="18">
                  <c:v>1.0000009536743164</c:v>
                </c:pt>
                <c:pt idx="19">
                  <c:v>0.9999995231628418</c:v>
                </c:pt>
                <c:pt idx="20">
                  <c:v>1.0000002384185791</c:v>
                </c:pt>
                <c:pt idx="21">
                  <c:v>0.99999988079071045</c:v>
                </c:pt>
                <c:pt idx="22">
                  <c:v>1.0000000596046448</c:v>
                </c:pt>
                <c:pt idx="23">
                  <c:v>0.99999997019767761</c:v>
                </c:pt>
                <c:pt idx="24">
                  <c:v>1.0000000149011612</c:v>
                </c:pt>
                <c:pt idx="25">
                  <c:v>0.9999999925494194</c:v>
                </c:pt>
                <c:pt idx="26">
                  <c:v>1.0000000037252903</c:v>
                </c:pt>
                <c:pt idx="27">
                  <c:v>0.99999999813735485</c:v>
                </c:pt>
                <c:pt idx="28">
                  <c:v>1.0000000009313226</c:v>
                </c:pt>
                <c:pt idx="29">
                  <c:v>0.99999999953433871</c:v>
                </c:pt>
                <c:pt idx="30">
                  <c:v>1.0000000002328306</c:v>
                </c:pt>
                <c:pt idx="31">
                  <c:v>0.99999999988358468</c:v>
                </c:pt>
                <c:pt idx="32">
                  <c:v>1.0000000000582077</c:v>
                </c:pt>
                <c:pt idx="33">
                  <c:v>0.99999999997089617</c:v>
                </c:pt>
                <c:pt idx="34">
                  <c:v>1.0000000000145519</c:v>
                </c:pt>
                <c:pt idx="35">
                  <c:v>0.99999999999272404</c:v>
                </c:pt>
                <c:pt idx="36">
                  <c:v>1.000000000003638</c:v>
                </c:pt>
                <c:pt idx="37">
                  <c:v>0.99999999999818101</c:v>
                </c:pt>
                <c:pt idx="38">
                  <c:v>1.0000000000009095</c:v>
                </c:pt>
                <c:pt idx="39">
                  <c:v>0.99999999999954525</c:v>
                </c:pt>
                <c:pt idx="40">
                  <c:v>1.0000000000002274</c:v>
                </c:pt>
                <c:pt idx="41">
                  <c:v>0.99999999999988631</c:v>
                </c:pt>
                <c:pt idx="42">
                  <c:v>1.0000000000000568</c:v>
                </c:pt>
                <c:pt idx="43">
                  <c:v>0.99999999999997158</c:v>
                </c:pt>
                <c:pt idx="44">
                  <c:v>1.0000000000000142</c:v>
                </c:pt>
                <c:pt idx="45">
                  <c:v>0.99999999999999289</c:v>
                </c:pt>
                <c:pt idx="46">
                  <c:v>1.0000000000000036</c:v>
                </c:pt>
                <c:pt idx="47">
                  <c:v>0.99999999999999822</c:v>
                </c:pt>
                <c:pt idx="48">
                  <c:v>1.0000000000000009</c:v>
                </c:pt>
                <c:pt idx="49">
                  <c:v>0.99999999999999956</c:v>
                </c:pt>
                <c:pt idx="50">
                  <c:v>1.0000000000000002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3E0-4259-A9DB-2F0EB1A5C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701640"/>
        <c:axId val="605703688"/>
      </c:scatterChart>
      <c:valAx>
        <c:axId val="605701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703688"/>
        <c:crosses val="autoZero"/>
        <c:crossBetween val="midCat"/>
      </c:valAx>
      <c:valAx>
        <c:axId val="605703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701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456036745406824E-2"/>
          <c:y val="2.5428331875182269E-2"/>
          <c:w val="0.89209251968503933"/>
          <c:h val="0.89814814814814814"/>
        </c:manualLayout>
      </c:layout>
      <c:scatterChart>
        <c:scatterStyle val="smoothMarker"/>
        <c:varyColors val="0"/>
        <c:ser>
          <c:idx val="0"/>
          <c:order val="0"/>
          <c:tx>
            <c:v>приближение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'мтд хорд'!$I$3:$I$20</c:f>
              <c:numCache>
                <c:formatCode>General</c:formatCode>
                <c:ptCount val="18"/>
                <c:pt idx="0">
                  <c:v>0.5</c:v>
                </c:pt>
                <c:pt idx="1">
                  <c:v>2</c:v>
                </c:pt>
                <c:pt idx="2">
                  <c:v>0.5</c:v>
                </c:pt>
                <c:pt idx="3">
                  <c:v>2</c:v>
                </c:pt>
                <c:pt idx="4">
                  <c:v>0.58823529411764708</c:v>
                </c:pt>
                <c:pt idx="5">
                  <c:v>2</c:v>
                </c:pt>
                <c:pt idx="6">
                  <c:v>0.67329762815608263</c:v>
                </c:pt>
                <c:pt idx="7">
                  <c:v>2</c:v>
                </c:pt>
                <c:pt idx="8">
                  <c:v>0.74998045604671626</c:v>
                </c:pt>
                <c:pt idx="9">
                  <c:v>2</c:v>
                </c:pt>
                <c:pt idx="10">
                  <c:v>0.81479880062096843</c:v>
                </c:pt>
                <c:pt idx="11">
                  <c:v>2</c:v>
                </c:pt>
                <c:pt idx="12">
                  <c:v>0.86653329131790957</c:v>
                </c:pt>
                <c:pt idx="13">
                  <c:v>2</c:v>
                </c:pt>
                <c:pt idx="14">
                  <c:v>0.90589742810129847</c:v>
                </c:pt>
                <c:pt idx="15">
                  <c:v>2</c:v>
                </c:pt>
                <c:pt idx="16">
                  <c:v>0.93474326102848815</c:v>
                </c:pt>
                <c:pt idx="17">
                  <c:v>2</c:v>
                </c:pt>
              </c:numCache>
            </c:numRef>
          </c:xVal>
          <c:yVal>
            <c:numRef>
              <c:f>'мтд хорд'!$J$3:$J$20</c:f>
              <c:numCache>
                <c:formatCode>General</c:formatCode>
                <c:ptCount val="18"/>
                <c:pt idx="0">
                  <c:v>0</c:v>
                </c:pt>
                <c:pt idx="1">
                  <c:v>6</c:v>
                </c:pt>
                <c:pt idx="2">
                  <c:v>-0.375</c:v>
                </c:pt>
                <c:pt idx="3">
                  <c:v>6</c:v>
                </c:pt>
                <c:pt idx="4">
                  <c:v>-0.38469366985548548</c:v>
                </c:pt>
                <c:pt idx="5">
                  <c:v>6</c:v>
                </c:pt>
                <c:pt idx="6">
                  <c:v>-0.36807181901229247</c:v>
                </c:pt>
                <c:pt idx="7">
                  <c:v>6</c:v>
                </c:pt>
                <c:pt idx="8">
                  <c:v>-0.32813843560846628</c:v>
                </c:pt>
                <c:pt idx="9">
                  <c:v>6</c:v>
                </c:pt>
                <c:pt idx="10">
                  <c:v>-0.2738562516252151</c:v>
                </c:pt>
                <c:pt idx="11">
                  <c:v>6</c:v>
                </c:pt>
                <c:pt idx="12">
                  <c:v>-0.2158708212251611</c:v>
                </c:pt>
                <c:pt idx="13">
                  <c:v>6</c:v>
                </c:pt>
                <c:pt idx="14">
                  <c:v>-0.16247256762744255</c:v>
                </c:pt>
                <c:pt idx="15">
                  <c:v>6</c:v>
                </c:pt>
                <c:pt idx="16">
                  <c:v>-0.11801604403622779</c:v>
                </c:pt>
                <c:pt idx="17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3F-4155-B6CD-29B16248823A}"/>
            </c:ext>
          </c:extLst>
        </c:ser>
        <c:ser>
          <c:idx val="1"/>
          <c:order val="1"/>
          <c:tx>
            <c:v>сам график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'мтд хорд'!$L$3:$L$23</c:f>
              <c:numCache>
                <c:formatCode>General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</c:numCache>
            </c:numRef>
          </c:xVal>
          <c:yVal>
            <c:numRef>
              <c:f>'мтд хорд'!$M$3:$M$23</c:f>
              <c:numCache>
                <c:formatCode>General</c:formatCode>
                <c:ptCount val="21"/>
                <c:pt idx="0">
                  <c:v>0</c:v>
                </c:pt>
                <c:pt idx="1">
                  <c:v>-9.9000000000000005E-2</c:v>
                </c:pt>
                <c:pt idx="2">
                  <c:v>-0.192</c:v>
                </c:pt>
                <c:pt idx="3">
                  <c:v>-0.27299999999999996</c:v>
                </c:pt>
                <c:pt idx="4">
                  <c:v>-0.33600000000000002</c:v>
                </c:pt>
                <c:pt idx="5">
                  <c:v>-0.375</c:v>
                </c:pt>
                <c:pt idx="6">
                  <c:v>-0.38400000000000001</c:v>
                </c:pt>
                <c:pt idx="7">
                  <c:v>-0.35700000000000004</c:v>
                </c:pt>
                <c:pt idx="8">
                  <c:v>-0.28799999999999992</c:v>
                </c:pt>
                <c:pt idx="9">
                  <c:v>-0.17099999999999993</c:v>
                </c:pt>
                <c:pt idx="10">
                  <c:v>0</c:v>
                </c:pt>
                <c:pt idx="11">
                  <c:v>0.23100000000000032</c:v>
                </c:pt>
                <c:pt idx="12">
                  <c:v>0.52800000000000002</c:v>
                </c:pt>
                <c:pt idx="13">
                  <c:v>0.89700000000000046</c:v>
                </c:pt>
                <c:pt idx="14">
                  <c:v>1.3439999999999994</c:v>
                </c:pt>
                <c:pt idx="15">
                  <c:v>1.875</c:v>
                </c:pt>
                <c:pt idx="16">
                  <c:v>2.4960000000000009</c:v>
                </c:pt>
                <c:pt idx="17">
                  <c:v>3.2129999999999992</c:v>
                </c:pt>
                <c:pt idx="18">
                  <c:v>4.0320000000000009</c:v>
                </c:pt>
                <c:pt idx="19">
                  <c:v>4.9589999999999996</c:v>
                </c:pt>
                <c:pt idx="20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3F-4155-B6CD-29B162488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823984"/>
        <c:axId val="1220824816"/>
      </c:scatterChart>
      <c:valAx>
        <c:axId val="122082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824816"/>
        <c:crosses val="autoZero"/>
        <c:crossBetween val="midCat"/>
      </c:valAx>
      <c:valAx>
        <c:axId val="122082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82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погрешность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'мтд хорд'!$A$2:$A$90</c:f>
              <c:numCache>
                <c:formatCode>General</c:formatCode>
                <c:ptCount val="8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</c:numCache>
            </c:numRef>
          </c:xVal>
          <c:yVal>
            <c:numRef>
              <c:f>'мтд хорд'!$O$2:$O$90</c:f>
              <c:numCache>
                <c:formatCode>General</c:formatCode>
                <c:ptCount val="89"/>
                <c:pt idx="0">
                  <c:v>0.5</c:v>
                </c:pt>
                <c:pt idx="1">
                  <c:v>0.41176470588235292</c:v>
                </c:pt>
                <c:pt idx="2">
                  <c:v>0.32670237184391737</c:v>
                </c:pt>
                <c:pt idx="3">
                  <c:v>0.25001954395328374</c:v>
                </c:pt>
                <c:pt idx="4">
                  <c:v>0.18520119937903157</c:v>
                </c:pt>
                <c:pt idx="5">
                  <c:v>0.13346670868209043</c:v>
                </c:pt>
                <c:pt idx="6">
                  <c:v>9.4102571898701526E-2</c:v>
                </c:pt>
                <c:pt idx="7">
                  <c:v>6.5256738971511852E-2</c:v>
                </c:pt>
                <c:pt idx="8">
                  <c:v>4.4708021002898723E-2</c:v>
                </c:pt>
                <c:pt idx="9">
                  <c:v>3.0367201434778446E-2</c:v>
                </c:pt>
                <c:pt idx="10">
                  <c:v>2.050303513111984E-2</c:v>
                </c:pt>
                <c:pt idx="11">
                  <c:v>1.3786099716338707E-2</c:v>
                </c:pt>
                <c:pt idx="12">
                  <c:v>9.243720819700374E-3</c:v>
                </c:pt>
                <c:pt idx="13">
                  <c:v>6.1862741792024778E-3</c:v>
                </c:pt>
                <c:pt idx="14">
                  <c:v>4.1348308797813926E-3</c:v>
                </c:pt>
                <c:pt idx="15">
                  <c:v>2.7613082756700047E-3</c:v>
                </c:pt>
                <c:pt idx="16">
                  <c:v>1.8429917500476511E-3</c:v>
                </c:pt>
                <c:pt idx="17">
                  <c:v>1.2296051355972226E-3</c:v>
                </c:pt>
                <c:pt idx="18">
                  <c:v>8.2015687500047729E-4</c:v>
                </c:pt>
                <c:pt idx="19">
                  <c:v>5.4695814011707089E-4</c:v>
                </c:pt>
                <c:pt idx="20">
                  <c:v>3.6472187308989046E-4</c:v>
                </c:pt>
                <c:pt idx="21">
                  <c:v>2.4318486955510199E-4</c:v>
                </c:pt>
                <c:pt idx="22">
                  <c:v>1.621396749023063E-4</c:v>
                </c:pt>
                <c:pt idx="23">
                  <c:v>1.0810041949349536E-4</c:v>
                </c:pt>
                <c:pt idx="24">
                  <c:v>7.2070192450590653E-5</c:v>
                </c:pt>
                <c:pt idx="25">
                  <c:v>4.804823780379941E-5</c:v>
                </c:pt>
                <c:pt idx="26">
                  <c:v>3.2032799831105407E-5</c:v>
                </c:pt>
                <c:pt idx="27">
                  <c:v>2.135548491766226E-5</c:v>
                </c:pt>
                <c:pt idx="28">
                  <c:v>1.4237116628290636E-5</c:v>
                </c:pt>
                <c:pt idx="29">
                  <c:v>9.4914673900436952E-6</c:v>
                </c:pt>
                <c:pt idx="30">
                  <c:v>6.3276699512337942E-6</c:v>
                </c:pt>
                <c:pt idx="31">
                  <c:v>4.2184577562220937E-6</c:v>
                </c:pt>
                <c:pt idx="32">
                  <c:v>2.8123101140087314E-6</c:v>
                </c:pt>
                <c:pt idx="33">
                  <c:v>1.8748756063224903E-6</c:v>
                </c:pt>
                <c:pt idx="34">
                  <c:v>1.2499180472858029E-6</c:v>
                </c:pt>
                <c:pt idx="35">
                  <c:v>8.3327913213970817E-7</c:v>
                </c:pt>
                <c:pt idx="36">
                  <c:v>5.5551961430921892E-7</c:v>
                </c:pt>
                <c:pt idx="37">
                  <c:v>3.7034649524869678E-7</c:v>
                </c:pt>
                <c:pt idx="38">
                  <c:v>2.4689770161678837E-7</c:v>
                </c:pt>
                <c:pt idx="39">
                  <c:v>1.6459848461991555E-7</c:v>
                </c:pt>
                <c:pt idx="40">
                  <c:v>1.097323305554454E-7</c:v>
                </c:pt>
                <c:pt idx="41">
                  <c:v>7.3154890367632674E-8</c:v>
                </c:pt>
                <c:pt idx="42">
                  <c:v>4.8769928429059917E-8</c:v>
                </c:pt>
                <c:pt idx="43">
                  <c:v>3.2513286285507093E-8</c:v>
                </c:pt>
                <c:pt idx="44">
                  <c:v>2.1675524486397535E-8</c:v>
                </c:pt>
                <c:pt idx="45">
                  <c:v>1.4450349805628093E-8</c:v>
                </c:pt>
                <c:pt idx="46">
                  <c:v>9.6335666111002638E-9</c:v>
                </c:pt>
                <c:pt idx="47">
                  <c:v>6.4223777407335092E-9</c:v>
                </c:pt>
                <c:pt idx="48">
                  <c:v>4.2815851974964403E-9</c:v>
                </c:pt>
                <c:pt idx="49">
                  <c:v>2.8543901686717277E-9</c:v>
                </c:pt>
                <c:pt idx="50">
                  <c:v>1.9029268161219193E-9</c:v>
                </c:pt>
                <c:pt idx="51">
                  <c:v>1.2686178774146128E-9</c:v>
                </c:pt>
                <c:pt idx="52">
                  <c:v>8.457452516097419E-10</c:v>
                </c:pt>
                <c:pt idx="53">
                  <c:v>5.6383020474726209E-10</c:v>
                </c:pt>
                <c:pt idx="54">
                  <c:v>3.7588676615740724E-10</c:v>
                </c:pt>
                <c:pt idx="55">
                  <c:v>2.5059121444570565E-10</c:v>
                </c:pt>
                <c:pt idx="56">
                  <c:v>1.6706080963047043E-10</c:v>
                </c:pt>
                <c:pt idx="57">
                  <c:v>1.1137391009441444E-10</c:v>
                </c:pt>
                <c:pt idx="58">
                  <c:v>7.4249273396276294E-11</c:v>
                </c:pt>
                <c:pt idx="59">
                  <c:v>4.9499515597517529E-11</c:v>
                </c:pt>
                <c:pt idx="60">
                  <c:v>3.299971407244584E-11</c:v>
                </c:pt>
                <c:pt idx="61">
                  <c:v>2.1999846389064714E-11</c:v>
                </c:pt>
                <c:pt idx="62">
                  <c:v>1.466660126681063E-11</c:v>
                </c:pt>
                <c:pt idx="63">
                  <c:v>9.7777341778737537E-12</c:v>
                </c:pt>
                <c:pt idx="64">
                  <c:v>6.5184524444816816E-12</c:v>
                </c:pt>
                <c:pt idx="65">
                  <c:v>4.3456349629877877E-12</c:v>
                </c:pt>
                <c:pt idx="66">
                  <c:v>2.897126982759346E-12</c:v>
                </c:pt>
                <c:pt idx="67">
                  <c:v>1.9314549959403848E-12</c:v>
                </c:pt>
                <c:pt idx="68">
                  <c:v>1.2876366639602566E-12</c:v>
                </c:pt>
                <c:pt idx="69">
                  <c:v>8.5842444264017104E-13</c:v>
                </c:pt>
                <c:pt idx="70">
                  <c:v>5.723199691942682E-13</c:v>
                </c:pt>
                <c:pt idx="71">
                  <c:v>3.815836535636663E-13</c:v>
                </c:pt>
                <c:pt idx="72">
                  <c:v>2.5435209494162336E-13</c:v>
                </c:pt>
                <c:pt idx="73">
                  <c:v>1.695310558602614E-13</c:v>
                </c:pt>
                <c:pt idx="74">
                  <c:v>1.1302070390684094E-13</c:v>
                </c:pt>
                <c:pt idx="75">
                  <c:v>7.5384143372048129E-14</c:v>
                </c:pt>
                <c:pt idx="76">
                  <c:v>5.0293103015519591E-14</c:v>
                </c:pt>
                <c:pt idx="77">
                  <c:v>3.3528735343679728E-14</c:v>
                </c:pt>
                <c:pt idx="78">
                  <c:v>2.2315482794965646E-14</c:v>
                </c:pt>
                <c:pt idx="79">
                  <c:v>1.4876988529977098E-14</c:v>
                </c:pt>
                <c:pt idx="80">
                  <c:v>9.8809849191638932E-15</c:v>
                </c:pt>
                <c:pt idx="81">
                  <c:v>6.5503158452884236E-15</c:v>
                </c:pt>
                <c:pt idx="82">
                  <c:v>4.3298697960381105E-15</c:v>
                </c:pt>
                <c:pt idx="83">
                  <c:v>2.886579864025407E-15</c:v>
                </c:pt>
                <c:pt idx="84">
                  <c:v>1.8873791418627661E-15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7A-4738-8F3F-97D1A023E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337056"/>
        <c:axId val="966334976"/>
      </c:scatterChart>
      <c:valAx>
        <c:axId val="96633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334976"/>
        <c:crosses val="autoZero"/>
        <c:crossBetween val="midCat"/>
      </c:valAx>
      <c:valAx>
        <c:axId val="96633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33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f(x)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567147856517936E-2"/>
          <c:y val="0.16340179957804982"/>
          <c:w val="0.88311683582904743"/>
          <c:h val="0.75142272059601245"/>
        </c:manualLayout>
      </c:layout>
      <c:scatterChart>
        <c:scatterStyle val="smoothMarker"/>
        <c:varyColors val="0"/>
        <c:ser>
          <c:idx val="0"/>
          <c:order val="0"/>
          <c:tx>
            <c:v>f(x)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'мтд Ньютона'!$J$4:$J$34</c:f>
              <c:numCache>
                <c:formatCode>General</c:formatCode>
                <c:ptCount val="31"/>
                <c:pt idx="0">
                  <c:v>0.5</c:v>
                </c:pt>
                <c:pt idx="1">
                  <c:v>0.55000000000000004</c:v>
                </c:pt>
                <c:pt idx="2">
                  <c:v>0.6</c:v>
                </c:pt>
                <c:pt idx="3">
                  <c:v>0.65</c:v>
                </c:pt>
                <c:pt idx="4">
                  <c:v>0.7</c:v>
                </c:pt>
                <c:pt idx="5">
                  <c:v>0.75</c:v>
                </c:pt>
                <c:pt idx="6">
                  <c:v>0.8</c:v>
                </c:pt>
                <c:pt idx="7">
                  <c:v>0.85</c:v>
                </c:pt>
                <c:pt idx="8">
                  <c:v>0.9</c:v>
                </c:pt>
                <c:pt idx="9">
                  <c:v>0.95</c:v>
                </c:pt>
                <c:pt idx="10">
                  <c:v>1</c:v>
                </c:pt>
                <c:pt idx="11">
                  <c:v>1.05</c:v>
                </c:pt>
                <c:pt idx="12">
                  <c:v>1.1000000000000001</c:v>
                </c:pt>
                <c:pt idx="13">
                  <c:v>1.1499999999999999</c:v>
                </c:pt>
                <c:pt idx="14">
                  <c:v>1.2</c:v>
                </c:pt>
                <c:pt idx="15">
                  <c:v>1.25</c:v>
                </c:pt>
                <c:pt idx="16">
                  <c:v>1.3</c:v>
                </c:pt>
                <c:pt idx="17">
                  <c:v>1.35</c:v>
                </c:pt>
                <c:pt idx="18">
                  <c:v>1.4</c:v>
                </c:pt>
                <c:pt idx="19">
                  <c:v>1.45</c:v>
                </c:pt>
                <c:pt idx="20">
                  <c:v>1.5</c:v>
                </c:pt>
                <c:pt idx="21">
                  <c:v>1.55</c:v>
                </c:pt>
                <c:pt idx="22">
                  <c:v>1.6</c:v>
                </c:pt>
                <c:pt idx="23">
                  <c:v>1.65</c:v>
                </c:pt>
                <c:pt idx="24">
                  <c:v>1.7</c:v>
                </c:pt>
                <c:pt idx="25">
                  <c:v>1.75</c:v>
                </c:pt>
                <c:pt idx="26">
                  <c:v>1.8</c:v>
                </c:pt>
                <c:pt idx="27">
                  <c:v>1.85</c:v>
                </c:pt>
                <c:pt idx="28">
                  <c:v>1.9</c:v>
                </c:pt>
                <c:pt idx="29">
                  <c:v>1.95</c:v>
                </c:pt>
                <c:pt idx="30">
                  <c:v>2</c:v>
                </c:pt>
              </c:numCache>
            </c:numRef>
          </c:xVal>
          <c:yVal>
            <c:numRef>
              <c:f>'мтд Ньютона'!$K$4:$K$34</c:f>
              <c:numCache>
                <c:formatCode>General</c:formatCode>
                <c:ptCount val="31"/>
                <c:pt idx="0">
                  <c:v>-0.875</c:v>
                </c:pt>
                <c:pt idx="1">
                  <c:v>-0.83362499999999995</c:v>
                </c:pt>
                <c:pt idx="2">
                  <c:v>-0.78400000000000003</c:v>
                </c:pt>
                <c:pt idx="3">
                  <c:v>-0.72537499999999988</c:v>
                </c:pt>
                <c:pt idx="4">
                  <c:v>-0.65700000000000003</c:v>
                </c:pt>
                <c:pt idx="5">
                  <c:v>-0.578125</c:v>
                </c:pt>
                <c:pt idx="6">
                  <c:v>-0.48799999999999988</c:v>
                </c:pt>
                <c:pt idx="7">
                  <c:v>-0.38587500000000008</c:v>
                </c:pt>
                <c:pt idx="8">
                  <c:v>-0.27099999999999991</c:v>
                </c:pt>
                <c:pt idx="9">
                  <c:v>-0.14262500000000011</c:v>
                </c:pt>
                <c:pt idx="10">
                  <c:v>0</c:v>
                </c:pt>
                <c:pt idx="11">
                  <c:v>0.15762500000000013</c:v>
                </c:pt>
                <c:pt idx="12">
                  <c:v>0.33100000000000041</c:v>
                </c:pt>
                <c:pt idx="13">
                  <c:v>0.52087499999999953</c:v>
                </c:pt>
                <c:pt idx="14">
                  <c:v>0.72799999999999998</c:v>
                </c:pt>
                <c:pt idx="15">
                  <c:v>0.953125</c:v>
                </c:pt>
                <c:pt idx="16">
                  <c:v>1.1970000000000005</c:v>
                </c:pt>
                <c:pt idx="17">
                  <c:v>1.4603750000000004</c:v>
                </c:pt>
                <c:pt idx="18">
                  <c:v>1.7439999999999993</c:v>
                </c:pt>
                <c:pt idx="19">
                  <c:v>2.0486249999999999</c:v>
                </c:pt>
                <c:pt idx="20">
                  <c:v>2.375</c:v>
                </c:pt>
                <c:pt idx="21">
                  <c:v>2.7238750000000005</c:v>
                </c:pt>
                <c:pt idx="22">
                  <c:v>3.096000000000001</c:v>
                </c:pt>
                <c:pt idx="23">
                  <c:v>3.4921249999999997</c:v>
                </c:pt>
                <c:pt idx="24">
                  <c:v>3.9129999999999994</c:v>
                </c:pt>
                <c:pt idx="25">
                  <c:v>4.359375</c:v>
                </c:pt>
                <c:pt idx="26">
                  <c:v>4.8320000000000007</c:v>
                </c:pt>
                <c:pt idx="27">
                  <c:v>5.3316250000000007</c:v>
                </c:pt>
                <c:pt idx="28">
                  <c:v>5.8589999999999991</c:v>
                </c:pt>
                <c:pt idx="29">
                  <c:v>6.4148749999999994</c:v>
                </c:pt>
                <c:pt idx="30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A3-4DBE-8B38-8BD27B399C59}"/>
            </c:ext>
          </c:extLst>
        </c:ser>
        <c:ser>
          <c:idx val="1"/>
          <c:order val="1"/>
          <c:tx>
            <c:v>f'(x)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'мтд Ньютона'!$J$4:$J$34</c:f>
              <c:numCache>
                <c:formatCode>General</c:formatCode>
                <c:ptCount val="31"/>
                <c:pt idx="0">
                  <c:v>0.5</c:v>
                </c:pt>
                <c:pt idx="1">
                  <c:v>0.55000000000000004</c:v>
                </c:pt>
                <c:pt idx="2">
                  <c:v>0.6</c:v>
                </c:pt>
                <c:pt idx="3">
                  <c:v>0.65</c:v>
                </c:pt>
                <c:pt idx="4">
                  <c:v>0.7</c:v>
                </c:pt>
                <c:pt idx="5">
                  <c:v>0.75</c:v>
                </c:pt>
                <c:pt idx="6">
                  <c:v>0.8</c:v>
                </c:pt>
                <c:pt idx="7">
                  <c:v>0.85</c:v>
                </c:pt>
                <c:pt idx="8">
                  <c:v>0.9</c:v>
                </c:pt>
                <c:pt idx="9">
                  <c:v>0.95</c:v>
                </c:pt>
                <c:pt idx="10">
                  <c:v>1</c:v>
                </c:pt>
                <c:pt idx="11">
                  <c:v>1.05</c:v>
                </c:pt>
                <c:pt idx="12">
                  <c:v>1.1000000000000001</c:v>
                </c:pt>
                <c:pt idx="13">
                  <c:v>1.1499999999999999</c:v>
                </c:pt>
                <c:pt idx="14">
                  <c:v>1.2</c:v>
                </c:pt>
                <c:pt idx="15">
                  <c:v>1.25</c:v>
                </c:pt>
                <c:pt idx="16">
                  <c:v>1.3</c:v>
                </c:pt>
                <c:pt idx="17">
                  <c:v>1.35</c:v>
                </c:pt>
                <c:pt idx="18">
                  <c:v>1.4</c:v>
                </c:pt>
                <c:pt idx="19">
                  <c:v>1.45</c:v>
                </c:pt>
                <c:pt idx="20">
                  <c:v>1.5</c:v>
                </c:pt>
                <c:pt idx="21">
                  <c:v>1.55</c:v>
                </c:pt>
                <c:pt idx="22">
                  <c:v>1.6</c:v>
                </c:pt>
                <c:pt idx="23">
                  <c:v>1.65</c:v>
                </c:pt>
                <c:pt idx="24">
                  <c:v>1.7</c:v>
                </c:pt>
                <c:pt idx="25">
                  <c:v>1.75</c:v>
                </c:pt>
                <c:pt idx="26">
                  <c:v>1.8</c:v>
                </c:pt>
                <c:pt idx="27">
                  <c:v>1.85</c:v>
                </c:pt>
                <c:pt idx="28">
                  <c:v>1.9</c:v>
                </c:pt>
                <c:pt idx="29">
                  <c:v>1.95</c:v>
                </c:pt>
                <c:pt idx="30">
                  <c:v>2</c:v>
                </c:pt>
              </c:numCache>
            </c:numRef>
          </c:xVal>
          <c:yVal>
            <c:numRef>
              <c:f>'мтд Ньютона'!$L$4:$L$34</c:f>
              <c:numCache>
                <c:formatCode>General</c:formatCode>
                <c:ptCount val="31"/>
                <c:pt idx="0">
                  <c:v>0.75</c:v>
                </c:pt>
                <c:pt idx="1">
                  <c:v>0.9075000000000002</c:v>
                </c:pt>
                <c:pt idx="2">
                  <c:v>1.08</c:v>
                </c:pt>
                <c:pt idx="3">
                  <c:v>1.2675000000000001</c:v>
                </c:pt>
                <c:pt idx="4">
                  <c:v>1.4699999999999998</c:v>
                </c:pt>
                <c:pt idx="5">
                  <c:v>1.6875</c:v>
                </c:pt>
                <c:pt idx="6">
                  <c:v>1.9200000000000004</c:v>
                </c:pt>
                <c:pt idx="7">
                  <c:v>2.1674999999999995</c:v>
                </c:pt>
                <c:pt idx="8">
                  <c:v>2.4300000000000002</c:v>
                </c:pt>
                <c:pt idx="9">
                  <c:v>2.7075</c:v>
                </c:pt>
                <c:pt idx="10">
                  <c:v>3</c:v>
                </c:pt>
                <c:pt idx="11">
                  <c:v>3.3075000000000001</c:v>
                </c:pt>
                <c:pt idx="12">
                  <c:v>3.6300000000000008</c:v>
                </c:pt>
                <c:pt idx="13">
                  <c:v>3.9674999999999994</c:v>
                </c:pt>
                <c:pt idx="14">
                  <c:v>4.32</c:v>
                </c:pt>
                <c:pt idx="15">
                  <c:v>4.6875</c:v>
                </c:pt>
                <c:pt idx="16">
                  <c:v>5.07</c:v>
                </c:pt>
                <c:pt idx="17">
                  <c:v>5.4675000000000011</c:v>
                </c:pt>
                <c:pt idx="18">
                  <c:v>5.879999999999999</c:v>
                </c:pt>
                <c:pt idx="19">
                  <c:v>6.3075000000000001</c:v>
                </c:pt>
                <c:pt idx="20">
                  <c:v>6.75</c:v>
                </c:pt>
                <c:pt idx="21">
                  <c:v>7.2075000000000014</c:v>
                </c:pt>
                <c:pt idx="22">
                  <c:v>7.6800000000000015</c:v>
                </c:pt>
                <c:pt idx="23">
                  <c:v>8.1674999999999986</c:v>
                </c:pt>
                <c:pt idx="24">
                  <c:v>8.6699999999999982</c:v>
                </c:pt>
                <c:pt idx="25">
                  <c:v>9.1875</c:v>
                </c:pt>
                <c:pt idx="26">
                  <c:v>9.7200000000000006</c:v>
                </c:pt>
                <c:pt idx="27">
                  <c:v>10.267500000000002</c:v>
                </c:pt>
                <c:pt idx="28">
                  <c:v>10.83</c:v>
                </c:pt>
                <c:pt idx="29">
                  <c:v>11.407499999999999</c:v>
                </c:pt>
                <c:pt idx="3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A3-4DBE-8B38-8BD27B399C59}"/>
            </c:ext>
          </c:extLst>
        </c:ser>
        <c:ser>
          <c:idx val="2"/>
          <c:order val="2"/>
          <c:tx>
            <c:v>f''(x)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'мтд Ньютона'!$J$4:$J$34</c:f>
              <c:numCache>
                <c:formatCode>General</c:formatCode>
                <c:ptCount val="31"/>
                <c:pt idx="0">
                  <c:v>0.5</c:v>
                </c:pt>
                <c:pt idx="1">
                  <c:v>0.55000000000000004</c:v>
                </c:pt>
                <c:pt idx="2">
                  <c:v>0.6</c:v>
                </c:pt>
                <c:pt idx="3">
                  <c:v>0.65</c:v>
                </c:pt>
                <c:pt idx="4">
                  <c:v>0.7</c:v>
                </c:pt>
                <c:pt idx="5">
                  <c:v>0.75</c:v>
                </c:pt>
                <c:pt idx="6">
                  <c:v>0.8</c:v>
                </c:pt>
                <c:pt idx="7">
                  <c:v>0.85</c:v>
                </c:pt>
                <c:pt idx="8">
                  <c:v>0.9</c:v>
                </c:pt>
                <c:pt idx="9">
                  <c:v>0.95</c:v>
                </c:pt>
                <c:pt idx="10">
                  <c:v>1</c:v>
                </c:pt>
                <c:pt idx="11">
                  <c:v>1.05</c:v>
                </c:pt>
                <c:pt idx="12">
                  <c:v>1.1000000000000001</c:v>
                </c:pt>
                <c:pt idx="13">
                  <c:v>1.1499999999999999</c:v>
                </c:pt>
                <c:pt idx="14">
                  <c:v>1.2</c:v>
                </c:pt>
                <c:pt idx="15">
                  <c:v>1.25</c:v>
                </c:pt>
                <c:pt idx="16">
                  <c:v>1.3</c:v>
                </c:pt>
                <c:pt idx="17">
                  <c:v>1.35</c:v>
                </c:pt>
                <c:pt idx="18">
                  <c:v>1.4</c:v>
                </c:pt>
                <c:pt idx="19">
                  <c:v>1.45</c:v>
                </c:pt>
                <c:pt idx="20">
                  <c:v>1.5</c:v>
                </c:pt>
                <c:pt idx="21">
                  <c:v>1.55</c:v>
                </c:pt>
                <c:pt idx="22">
                  <c:v>1.6</c:v>
                </c:pt>
                <c:pt idx="23">
                  <c:v>1.65</c:v>
                </c:pt>
                <c:pt idx="24">
                  <c:v>1.7</c:v>
                </c:pt>
                <c:pt idx="25">
                  <c:v>1.75</c:v>
                </c:pt>
                <c:pt idx="26">
                  <c:v>1.8</c:v>
                </c:pt>
                <c:pt idx="27">
                  <c:v>1.85</c:v>
                </c:pt>
                <c:pt idx="28">
                  <c:v>1.9</c:v>
                </c:pt>
                <c:pt idx="29">
                  <c:v>1.95</c:v>
                </c:pt>
                <c:pt idx="30">
                  <c:v>2</c:v>
                </c:pt>
              </c:numCache>
            </c:numRef>
          </c:xVal>
          <c:yVal>
            <c:numRef>
              <c:f>'мтд Ньютона'!$M$4:$M$34</c:f>
              <c:numCache>
                <c:formatCode>General</c:formatCode>
                <c:ptCount val="31"/>
                <c:pt idx="0">
                  <c:v>3</c:v>
                </c:pt>
                <c:pt idx="1">
                  <c:v>3.3000000000000003</c:v>
                </c:pt>
                <c:pt idx="2">
                  <c:v>3.5999999999999996</c:v>
                </c:pt>
                <c:pt idx="3">
                  <c:v>3.9000000000000004</c:v>
                </c:pt>
                <c:pt idx="4">
                  <c:v>4.1999999999999993</c:v>
                </c:pt>
                <c:pt idx="5">
                  <c:v>4.5</c:v>
                </c:pt>
                <c:pt idx="6">
                  <c:v>4.8000000000000007</c:v>
                </c:pt>
                <c:pt idx="7">
                  <c:v>5.0999999999999996</c:v>
                </c:pt>
                <c:pt idx="8">
                  <c:v>5.4</c:v>
                </c:pt>
                <c:pt idx="9">
                  <c:v>5.6999999999999993</c:v>
                </c:pt>
                <c:pt idx="10">
                  <c:v>6</c:v>
                </c:pt>
                <c:pt idx="11">
                  <c:v>6.3000000000000007</c:v>
                </c:pt>
                <c:pt idx="12">
                  <c:v>6.6000000000000005</c:v>
                </c:pt>
                <c:pt idx="13">
                  <c:v>6.8999999999999995</c:v>
                </c:pt>
                <c:pt idx="14">
                  <c:v>7.1999999999999993</c:v>
                </c:pt>
                <c:pt idx="15">
                  <c:v>7.5</c:v>
                </c:pt>
                <c:pt idx="16">
                  <c:v>7.8000000000000007</c:v>
                </c:pt>
                <c:pt idx="17">
                  <c:v>8.1000000000000014</c:v>
                </c:pt>
                <c:pt idx="18">
                  <c:v>8.3999999999999986</c:v>
                </c:pt>
                <c:pt idx="19">
                  <c:v>8.6999999999999993</c:v>
                </c:pt>
                <c:pt idx="20">
                  <c:v>9</c:v>
                </c:pt>
                <c:pt idx="21">
                  <c:v>9.3000000000000007</c:v>
                </c:pt>
                <c:pt idx="22">
                  <c:v>9.6000000000000014</c:v>
                </c:pt>
                <c:pt idx="23">
                  <c:v>9.8999999999999986</c:v>
                </c:pt>
                <c:pt idx="24">
                  <c:v>10.199999999999999</c:v>
                </c:pt>
                <c:pt idx="25">
                  <c:v>10.5</c:v>
                </c:pt>
                <c:pt idx="26">
                  <c:v>10.8</c:v>
                </c:pt>
                <c:pt idx="27">
                  <c:v>11.100000000000001</c:v>
                </c:pt>
                <c:pt idx="28">
                  <c:v>11.399999999999999</c:v>
                </c:pt>
                <c:pt idx="29">
                  <c:v>11.7</c:v>
                </c:pt>
                <c:pt idx="30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A3-4DBE-8B38-8BD27B399C59}"/>
            </c:ext>
          </c:extLst>
        </c:ser>
        <c:ser>
          <c:idx val="3"/>
          <c:order val="3"/>
          <c:tx>
            <c:v>первое  приближение 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'мтд Ньютона'!$H$39:$H$49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1.2000000000000002</c:v>
                </c:pt>
                <c:pt idx="3">
                  <c:v>1.3000000000000003</c:v>
                </c:pt>
                <c:pt idx="4">
                  <c:v>1.4000000000000004</c:v>
                </c:pt>
                <c:pt idx="5">
                  <c:v>1.5000000000000004</c:v>
                </c:pt>
                <c:pt idx="6">
                  <c:v>1.6000000000000005</c:v>
                </c:pt>
                <c:pt idx="7">
                  <c:v>1.7000000000000006</c:v>
                </c:pt>
                <c:pt idx="8">
                  <c:v>1.8000000000000007</c:v>
                </c:pt>
                <c:pt idx="9">
                  <c:v>1.9000000000000008</c:v>
                </c:pt>
                <c:pt idx="10">
                  <c:v>2.0000000000000009</c:v>
                </c:pt>
              </c:numCache>
            </c:numRef>
          </c:xVal>
          <c:yVal>
            <c:numRef>
              <c:f>'мтд Ньютона'!$I$39:$I$49</c:f>
              <c:numCache>
                <c:formatCode>General</c:formatCode>
                <c:ptCount val="11"/>
                <c:pt idx="0">
                  <c:v>-5</c:v>
                </c:pt>
                <c:pt idx="1">
                  <c:v>-3.7999999999999989</c:v>
                </c:pt>
                <c:pt idx="2">
                  <c:v>-2.5999999999999979</c:v>
                </c:pt>
                <c:pt idx="3">
                  <c:v>-1.3999999999999968</c:v>
                </c:pt>
                <c:pt idx="4">
                  <c:v>-0.19999999999999574</c:v>
                </c:pt>
                <c:pt idx="5">
                  <c:v>1.0000000000000053</c:v>
                </c:pt>
                <c:pt idx="6">
                  <c:v>2.2000000000000064</c:v>
                </c:pt>
                <c:pt idx="7">
                  <c:v>3.4000000000000075</c:v>
                </c:pt>
                <c:pt idx="8">
                  <c:v>4.6000000000000085</c:v>
                </c:pt>
                <c:pt idx="9">
                  <c:v>5.8000000000000096</c:v>
                </c:pt>
                <c:pt idx="10">
                  <c:v>7.0000000000000107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9F-4563-B2E0-DA1586AC6701}"/>
            </c:ext>
          </c:extLst>
        </c:ser>
        <c:ser>
          <c:idx val="4"/>
          <c:order val="4"/>
          <c:tx>
            <c:v>второе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'мтд Ньютона'!$H$39:$H$49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1.2000000000000002</c:v>
                </c:pt>
                <c:pt idx="3">
                  <c:v>1.3000000000000003</c:v>
                </c:pt>
                <c:pt idx="4">
                  <c:v>1.4000000000000004</c:v>
                </c:pt>
                <c:pt idx="5">
                  <c:v>1.5000000000000004</c:v>
                </c:pt>
                <c:pt idx="6">
                  <c:v>1.6000000000000005</c:v>
                </c:pt>
                <c:pt idx="7">
                  <c:v>1.7000000000000006</c:v>
                </c:pt>
                <c:pt idx="8">
                  <c:v>1.8000000000000007</c:v>
                </c:pt>
                <c:pt idx="9">
                  <c:v>1.9000000000000008</c:v>
                </c:pt>
                <c:pt idx="10">
                  <c:v>2.0000000000000009</c:v>
                </c:pt>
              </c:numCache>
            </c:numRef>
          </c:xVal>
          <c:yVal>
            <c:numRef>
              <c:f>'мтд Ньютона'!$J$39:$J$49</c:f>
              <c:numCache>
                <c:formatCode>General</c:formatCode>
                <c:ptCount val="1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9F-4563-B2E0-DA1586AC6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954991"/>
        <c:axId val="1490945007"/>
      </c:scatterChart>
      <c:valAx>
        <c:axId val="149095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945007"/>
        <c:crosses val="autoZero"/>
        <c:crossBetween val="midCat"/>
      </c:valAx>
      <c:valAx>
        <c:axId val="149094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954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погрешность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'мтд Ньютона'!$A$4:$A$15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'мтд Ньютона'!$F$4:$F$15</c:f>
              <c:numCache>
                <c:formatCode>General</c:formatCode>
                <c:ptCount val="12"/>
                <c:pt idx="0">
                  <c:v>0.41666666666666674</c:v>
                </c:pt>
                <c:pt idx="1">
                  <c:v>0.1068376068376069</c:v>
                </c:pt>
                <c:pt idx="2">
                  <c:v>9.8377170200374398E-3</c:v>
                </c:pt>
                <c:pt idx="3">
                  <c:v>9.5373292965383882E-5</c:v>
                </c:pt>
                <c:pt idx="4">
                  <c:v>9.0947638309302192E-9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B8-4F44-A640-C6CE683A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346624"/>
        <c:axId val="966338720"/>
      </c:scatterChart>
      <c:valAx>
        <c:axId val="96634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338720"/>
        <c:crosses val="autoZero"/>
        <c:crossBetween val="midCat"/>
      </c:valAx>
      <c:valAx>
        <c:axId val="96633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34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все погрешности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м.хорд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погрешности!$A$2:$A$87</c:f>
              <c:numCache>
                <c:formatCode>General</c:formatCode>
                <c:ptCount val="8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</c:numCache>
            </c:numRef>
          </c:xVal>
          <c:yVal>
            <c:numRef>
              <c:f>погрешности!$B$2:$B$87</c:f>
              <c:numCache>
                <c:formatCode>General</c:formatCode>
                <c:ptCount val="86"/>
                <c:pt idx="0">
                  <c:v>0.5</c:v>
                </c:pt>
                <c:pt idx="1">
                  <c:v>0.41176470588235292</c:v>
                </c:pt>
                <c:pt idx="2">
                  <c:v>0.32670237184391737</c:v>
                </c:pt>
                <c:pt idx="3">
                  <c:v>0.25001954395328374</c:v>
                </c:pt>
                <c:pt idx="4">
                  <c:v>0.18520119937903157</c:v>
                </c:pt>
                <c:pt idx="5">
                  <c:v>0.13346670868209043</c:v>
                </c:pt>
                <c:pt idx="6">
                  <c:v>9.4102571898701526E-2</c:v>
                </c:pt>
                <c:pt idx="7">
                  <c:v>6.5256738971511852E-2</c:v>
                </c:pt>
                <c:pt idx="8">
                  <c:v>4.4708021002898723E-2</c:v>
                </c:pt>
                <c:pt idx="9">
                  <c:v>3.0367201434778446E-2</c:v>
                </c:pt>
                <c:pt idx="10">
                  <c:v>2.050303513111984E-2</c:v>
                </c:pt>
                <c:pt idx="11">
                  <c:v>1.3786099716338707E-2</c:v>
                </c:pt>
                <c:pt idx="12">
                  <c:v>9.243720819700374E-3</c:v>
                </c:pt>
                <c:pt idx="13">
                  <c:v>6.1862741792024778E-3</c:v>
                </c:pt>
                <c:pt idx="14">
                  <c:v>4.1348308797813926E-3</c:v>
                </c:pt>
                <c:pt idx="15">
                  <c:v>2.7613082756700047E-3</c:v>
                </c:pt>
                <c:pt idx="16">
                  <c:v>1.8429917500476511E-3</c:v>
                </c:pt>
                <c:pt idx="17">
                  <c:v>1.2296051355972226E-3</c:v>
                </c:pt>
                <c:pt idx="18">
                  <c:v>8.2015687500047729E-4</c:v>
                </c:pt>
                <c:pt idx="19">
                  <c:v>5.4695814011707089E-4</c:v>
                </c:pt>
                <c:pt idx="20">
                  <c:v>3.6472187308989046E-4</c:v>
                </c:pt>
                <c:pt idx="21">
                  <c:v>2.4318486955510199E-4</c:v>
                </c:pt>
                <c:pt idx="22">
                  <c:v>1.621396749023063E-4</c:v>
                </c:pt>
                <c:pt idx="23">
                  <c:v>1.0810041949349536E-4</c:v>
                </c:pt>
                <c:pt idx="24">
                  <c:v>7.2070192450590653E-5</c:v>
                </c:pt>
                <c:pt idx="25">
                  <c:v>4.804823780379941E-5</c:v>
                </c:pt>
                <c:pt idx="26">
                  <c:v>3.2032799831105407E-5</c:v>
                </c:pt>
                <c:pt idx="27">
                  <c:v>2.135548491766226E-5</c:v>
                </c:pt>
                <c:pt idx="28">
                  <c:v>1.4237116628290636E-5</c:v>
                </c:pt>
                <c:pt idx="29">
                  <c:v>9.4914673900436952E-6</c:v>
                </c:pt>
                <c:pt idx="30">
                  <c:v>6.3276699512337942E-6</c:v>
                </c:pt>
                <c:pt idx="31">
                  <c:v>4.2184577562220937E-6</c:v>
                </c:pt>
                <c:pt idx="32">
                  <c:v>2.8123101140087314E-6</c:v>
                </c:pt>
                <c:pt idx="33">
                  <c:v>1.8748756063224903E-6</c:v>
                </c:pt>
                <c:pt idx="34">
                  <c:v>1.2499180472858029E-6</c:v>
                </c:pt>
                <c:pt idx="35">
                  <c:v>8.3327913213970817E-7</c:v>
                </c:pt>
                <c:pt idx="36">
                  <c:v>5.5551961430921892E-7</c:v>
                </c:pt>
                <c:pt idx="37">
                  <c:v>3.7034649524869678E-7</c:v>
                </c:pt>
                <c:pt idx="38">
                  <c:v>2.4689770161678837E-7</c:v>
                </c:pt>
                <c:pt idx="39">
                  <c:v>1.6459848461991555E-7</c:v>
                </c:pt>
                <c:pt idx="40">
                  <c:v>1.097323305554454E-7</c:v>
                </c:pt>
                <c:pt idx="41">
                  <c:v>7.3154890367632674E-8</c:v>
                </c:pt>
                <c:pt idx="42">
                  <c:v>4.8769928429059917E-8</c:v>
                </c:pt>
                <c:pt idx="43">
                  <c:v>3.2513286285507093E-8</c:v>
                </c:pt>
                <c:pt idx="44">
                  <c:v>2.1675524486397535E-8</c:v>
                </c:pt>
                <c:pt idx="45">
                  <c:v>1.4450349805628093E-8</c:v>
                </c:pt>
                <c:pt idx="46">
                  <c:v>9.6335666111002638E-9</c:v>
                </c:pt>
                <c:pt idx="47">
                  <c:v>6.4223777407335092E-9</c:v>
                </c:pt>
                <c:pt idx="48">
                  <c:v>4.2815851974964403E-9</c:v>
                </c:pt>
                <c:pt idx="49">
                  <c:v>2.8543901686717277E-9</c:v>
                </c:pt>
                <c:pt idx="50">
                  <c:v>1.9029268161219193E-9</c:v>
                </c:pt>
                <c:pt idx="51">
                  <c:v>1.2686178774146128E-9</c:v>
                </c:pt>
                <c:pt idx="52">
                  <c:v>8.457452516097419E-10</c:v>
                </c:pt>
                <c:pt idx="53">
                  <c:v>5.6383020474726209E-10</c:v>
                </c:pt>
                <c:pt idx="54">
                  <c:v>3.7588676615740724E-10</c:v>
                </c:pt>
                <c:pt idx="55">
                  <c:v>2.5059121444570565E-10</c:v>
                </c:pt>
                <c:pt idx="56">
                  <c:v>1.6706080963047043E-10</c:v>
                </c:pt>
                <c:pt idx="57">
                  <c:v>1.1137391009441444E-10</c:v>
                </c:pt>
                <c:pt idx="58">
                  <c:v>7.4249273396276294E-11</c:v>
                </c:pt>
                <c:pt idx="59">
                  <c:v>4.9499515597517529E-11</c:v>
                </c:pt>
                <c:pt idx="60">
                  <c:v>3.299971407244584E-11</c:v>
                </c:pt>
                <c:pt idx="61">
                  <c:v>2.1999846389064714E-11</c:v>
                </c:pt>
                <c:pt idx="62">
                  <c:v>1.466660126681063E-11</c:v>
                </c:pt>
                <c:pt idx="63">
                  <c:v>9.7777341778737537E-12</c:v>
                </c:pt>
                <c:pt idx="64">
                  <c:v>6.5184524444816816E-12</c:v>
                </c:pt>
                <c:pt idx="65">
                  <c:v>4.3456349629877877E-12</c:v>
                </c:pt>
                <c:pt idx="66">
                  <c:v>2.897126982759346E-12</c:v>
                </c:pt>
                <c:pt idx="67">
                  <c:v>1.9314549959403848E-12</c:v>
                </c:pt>
                <c:pt idx="68">
                  <c:v>1.2876366639602566E-12</c:v>
                </c:pt>
                <c:pt idx="69">
                  <c:v>8.5842444264017104E-13</c:v>
                </c:pt>
                <c:pt idx="70">
                  <c:v>5.723199691942682E-13</c:v>
                </c:pt>
                <c:pt idx="71">
                  <c:v>3.815836535636663E-13</c:v>
                </c:pt>
                <c:pt idx="72">
                  <c:v>2.5435209494162336E-13</c:v>
                </c:pt>
                <c:pt idx="73">
                  <c:v>1.695310558602614E-13</c:v>
                </c:pt>
                <c:pt idx="74">
                  <c:v>1.1302070390684094E-13</c:v>
                </c:pt>
                <c:pt idx="75">
                  <c:v>7.5384143372048129E-14</c:v>
                </c:pt>
                <c:pt idx="76">
                  <c:v>5.0293103015519591E-14</c:v>
                </c:pt>
                <c:pt idx="77">
                  <c:v>3.3528735343679728E-14</c:v>
                </c:pt>
                <c:pt idx="78">
                  <c:v>2.2315482794965646E-14</c:v>
                </c:pt>
                <c:pt idx="79">
                  <c:v>1.4876988529977098E-14</c:v>
                </c:pt>
                <c:pt idx="80">
                  <c:v>9.8809849191638932E-15</c:v>
                </c:pt>
                <c:pt idx="81">
                  <c:v>6.5503158452884236E-15</c:v>
                </c:pt>
                <c:pt idx="82">
                  <c:v>4.3298697960381105E-15</c:v>
                </c:pt>
                <c:pt idx="83">
                  <c:v>2.886579864025407E-15</c:v>
                </c:pt>
                <c:pt idx="84">
                  <c:v>1.8873791418627661E-15</c:v>
                </c:pt>
                <c:pt idx="8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9B-4FE0-A4AE-EA32CA48C576}"/>
            </c:ext>
          </c:extLst>
        </c:ser>
        <c:ser>
          <c:idx val="1"/>
          <c:order val="1"/>
          <c:tx>
            <c:v>м.п.д.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погрешности!$A$2:$A$87</c:f>
              <c:numCache>
                <c:formatCode>General</c:formatCode>
                <c:ptCount val="8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</c:numCache>
            </c:numRef>
          </c:xVal>
          <c:yVal>
            <c:numRef>
              <c:f>погрешности!$C$2:$C$87</c:f>
              <c:numCache>
                <c:formatCode>General</c:formatCode>
                <c:ptCount val="86"/>
                <c:pt idx="0">
                  <c:v>0.25</c:v>
                </c:pt>
                <c:pt idx="1">
                  <c:v>0.125</c:v>
                </c:pt>
                <c:pt idx="2">
                  <c:v>6.25E-2</c:v>
                </c:pt>
                <c:pt idx="3">
                  <c:v>3.125E-2</c:v>
                </c:pt>
                <c:pt idx="4">
                  <c:v>1.5625E-2</c:v>
                </c:pt>
                <c:pt idx="5">
                  <c:v>7.8125E-3</c:v>
                </c:pt>
                <c:pt idx="6">
                  <c:v>3.90625E-3</c:v>
                </c:pt>
                <c:pt idx="7">
                  <c:v>1.953125E-3</c:v>
                </c:pt>
                <c:pt idx="8">
                  <c:v>9.765625E-4</c:v>
                </c:pt>
                <c:pt idx="9">
                  <c:v>4.8828125E-4</c:v>
                </c:pt>
                <c:pt idx="10">
                  <c:v>2.44140625E-4</c:v>
                </c:pt>
                <c:pt idx="11">
                  <c:v>1.220703125E-4</c:v>
                </c:pt>
                <c:pt idx="12">
                  <c:v>6.103515625E-5</c:v>
                </c:pt>
                <c:pt idx="13">
                  <c:v>3.0517578125E-5</c:v>
                </c:pt>
                <c:pt idx="14">
                  <c:v>1.52587890625E-5</c:v>
                </c:pt>
                <c:pt idx="15">
                  <c:v>7.62939453125E-6</c:v>
                </c:pt>
                <c:pt idx="16">
                  <c:v>3.814697265625E-6</c:v>
                </c:pt>
                <c:pt idx="17">
                  <c:v>1.9073486328125E-6</c:v>
                </c:pt>
                <c:pt idx="18">
                  <c:v>9.5367431640625E-7</c:v>
                </c:pt>
                <c:pt idx="19">
                  <c:v>4.76837158203125E-7</c:v>
                </c:pt>
                <c:pt idx="20">
                  <c:v>2.384185791015625E-7</c:v>
                </c:pt>
                <c:pt idx="21">
                  <c:v>1.1920928955078125E-7</c:v>
                </c:pt>
                <c:pt idx="22">
                  <c:v>5.9604644775390625E-8</c:v>
                </c:pt>
                <c:pt idx="23">
                  <c:v>2.9802322387695313E-8</c:v>
                </c:pt>
                <c:pt idx="24">
                  <c:v>1.4901161193847656E-8</c:v>
                </c:pt>
                <c:pt idx="25">
                  <c:v>7.4505805969238281E-9</c:v>
                </c:pt>
                <c:pt idx="26">
                  <c:v>3.7252902984619141E-9</c:v>
                </c:pt>
                <c:pt idx="27">
                  <c:v>1.862645149230957E-9</c:v>
                </c:pt>
                <c:pt idx="28">
                  <c:v>9.3132257461547852E-10</c:v>
                </c:pt>
                <c:pt idx="29">
                  <c:v>4.6566128730773926E-10</c:v>
                </c:pt>
                <c:pt idx="30">
                  <c:v>2.3283064365386963E-10</c:v>
                </c:pt>
                <c:pt idx="31">
                  <c:v>1.1641532182693481E-10</c:v>
                </c:pt>
                <c:pt idx="32">
                  <c:v>5.8207660913467407E-11</c:v>
                </c:pt>
                <c:pt idx="33">
                  <c:v>2.9103830456733704E-11</c:v>
                </c:pt>
                <c:pt idx="34">
                  <c:v>1.4551915228366852E-11</c:v>
                </c:pt>
                <c:pt idx="35">
                  <c:v>7.2759576141834259E-12</c:v>
                </c:pt>
                <c:pt idx="36">
                  <c:v>3.637978807091713E-12</c:v>
                </c:pt>
                <c:pt idx="37">
                  <c:v>1.8189894035458565E-12</c:v>
                </c:pt>
                <c:pt idx="38">
                  <c:v>9.0949470177292824E-13</c:v>
                </c:pt>
                <c:pt idx="39">
                  <c:v>4.5474735088646412E-13</c:v>
                </c:pt>
                <c:pt idx="40">
                  <c:v>2.2737367544323206E-13</c:v>
                </c:pt>
                <c:pt idx="41">
                  <c:v>1.1368683772161603E-13</c:v>
                </c:pt>
                <c:pt idx="42">
                  <c:v>5.6843418860808015E-14</c:v>
                </c:pt>
                <c:pt idx="43">
                  <c:v>2.8421709430404007E-14</c:v>
                </c:pt>
                <c:pt idx="44">
                  <c:v>1.4210854715202004E-14</c:v>
                </c:pt>
                <c:pt idx="45">
                  <c:v>7.1054273576010019E-15</c:v>
                </c:pt>
                <c:pt idx="46">
                  <c:v>3.5527136788005009E-15</c:v>
                </c:pt>
                <c:pt idx="47">
                  <c:v>1.7763568394002505E-15</c:v>
                </c:pt>
                <c:pt idx="48">
                  <c:v>8.8817841970012523E-16</c:v>
                </c:pt>
                <c:pt idx="49">
                  <c:v>4.4408920985006262E-16</c:v>
                </c:pt>
                <c:pt idx="50">
                  <c:v>2.2204460492503131E-16</c:v>
                </c:pt>
                <c:pt idx="51">
                  <c:v>2.2204460492503131E-16</c:v>
                </c:pt>
                <c:pt idx="52">
                  <c:v>2.2204460492503131E-16</c:v>
                </c:pt>
                <c:pt idx="53">
                  <c:v>2.2204460492503131E-16</c:v>
                </c:pt>
                <c:pt idx="54">
                  <c:v>2.2204460492503131E-16</c:v>
                </c:pt>
                <c:pt idx="55">
                  <c:v>2.2204460492503131E-16</c:v>
                </c:pt>
                <c:pt idx="56">
                  <c:v>2.2204460492503131E-16</c:v>
                </c:pt>
                <c:pt idx="57">
                  <c:v>2.2204460492503131E-16</c:v>
                </c:pt>
                <c:pt idx="58">
                  <c:v>2.2204460492503131E-16</c:v>
                </c:pt>
                <c:pt idx="59">
                  <c:v>2.2204460492503131E-16</c:v>
                </c:pt>
                <c:pt idx="60">
                  <c:v>2.2204460492503131E-16</c:v>
                </c:pt>
                <c:pt idx="61">
                  <c:v>2.2204460492503131E-16</c:v>
                </c:pt>
                <c:pt idx="62">
                  <c:v>2.2204460492503131E-16</c:v>
                </c:pt>
                <c:pt idx="63">
                  <c:v>2.2204460492503131E-16</c:v>
                </c:pt>
                <c:pt idx="64">
                  <c:v>2.2204460492503131E-16</c:v>
                </c:pt>
                <c:pt idx="65">
                  <c:v>2.2204460492503131E-16</c:v>
                </c:pt>
                <c:pt idx="66">
                  <c:v>2.2204460492503131E-16</c:v>
                </c:pt>
                <c:pt idx="67">
                  <c:v>2.2204460492503131E-16</c:v>
                </c:pt>
                <c:pt idx="68">
                  <c:v>2.2204460492503131E-16</c:v>
                </c:pt>
                <c:pt idx="69">
                  <c:v>2.2204460492503131E-16</c:v>
                </c:pt>
                <c:pt idx="70">
                  <c:v>2.2204460492503131E-16</c:v>
                </c:pt>
                <c:pt idx="71">
                  <c:v>2.2204460492503131E-16</c:v>
                </c:pt>
                <c:pt idx="72">
                  <c:v>2.2204460492503131E-16</c:v>
                </c:pt>
                <c:pt idx="73">
                  <c:v>2.2204460492503131E-16</c:v>
                </c:pt>
                <c:pt idx="74">
                  <c:v>2.2204460492503131E-16</c:v>
                </c:pt>
                <c:pt idx="75">
                  <c:v>2.2204460492503131E-16</c:v>
                </c:pt>
                <c:pt idx="76">
                  <c:v>2.2204460492503131E-16</c:v>
                </c:pt>
                <c:pt idx="77">
                  <c:v>2.2204460492503131E-16</c:v>
                </c:pt>
                <c:pt idx="78">
                  <c:v>2.2204460492503131E-16</c:v>
                </c:pt>
                <c:pt idx="79">
                  <c:v>2.2204460492503131E-16</c:v>
                </c:pt>
                <c:pt idx="80">
                  <c:v>2.2204460492503131E-16</c:v>
                </c:pt>
                <c:pt idx="81">
                  <c:v>2.2204460492503131E-16</c:v>
                </c:pt>
                <c:pt idx="82">
                  <c:v>2.2204460492503131E-16</c:v>
                </c:pt>
                <c:pt idx="83">
                  <c:v>2.2204460492503131E-16</c:v>
                </c:pt>
                <c:pt idx="84">
                  <c:v>2.2204460492503131E-16</c:v>
                </c:pt>
                <c:pt idx="85">
                  <c:v>2.2204460492503131E-16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9B-4FE0-A4AE-EA32CA48C576}"/>
            </c:ext>
          </c:extLst>
        </c:ser>
        <c:ser>
          <c:idx val="2"/>
          <c:order val="2"/>
          <c:tx>
            <c:v>м.п.и.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погрешности!$A$2:$A$87</c:f>
              <c:numCache>
                <c:formatCode>General</c:formatCode>
                <c:ptCount val="8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</c:numCache>
            </c:numRef>
          </c:xVal>
          <c:yVal>
            <c:numRef>
              <c:f>погрешности!$D$2:$D$87</c:f>
              <c:numCache>
                <c:formatCode>General</c:formatCode>
                <c:ptCount val="86"/>
                <c:pt idx="0">
                  <c:v>0.14471424255333187</c:v>
                </c:pt>
                <c:pt idx="1">
                  <c:v>4.6081918643214648E-2</c:v>
                </c:pt>
                <c:pt idx="2">
                  <c:v>1.5130551333631947E-2</c:v>
                </c:pt>
                <c:pt idx="3">
                  <c:v>5.0182917336516475E-3</c:v>
                </c:pt>
                <c:pt idx="4">
                  <c:v>1.6699735471550348E-3</c:v>
                </c:pt>
                <c:pt idx="5">
                  <c:v>5.5634826825512462E-4</c:v>
                </c:pt>
                <c:pt idx="6">
                  <c:v>1.854150418891809E-4</c:v>
                </c:pt>
                <c:pt idx="7">
                  <c:v>6.1801194496835521E-5</c:v>
                </c:pt>
                <c:pt idx="8">
                  <c:v>2.05999738038809E-5</c:v>
                </c:pt>
                <c:pt idx="9">
                  <c:v>6.8666107841952595E-6</c:v>
                </c:pt>
                <c:pt idx="10">
                  <c:v>2.2888650224039964E-6</c:v>
                </c:pt>
                <c:pt idx="11">
                  <c:v>7.6295442541507441E-7</c:v>
                </c:pt>
                <c:pt idx="12">
                  <c:v>2.5431807704201503E-7</c:v>
                </c:pt>
                <c:pt idx="13">
                  <c:v>8.477268509388125E-8</c:v>
                </c:pt>
                <c:pt idx="14">
                  <c:v>2.8257560957811734E-8</c:v>
                </c:pt>
                <c:pt idx="15">
                  <c:v>9.4191869859372446E-9</c:v>
                </c:pt>
                <c:pt idx="16">
                  <c:v>3.1397289212975465E-9</c:v>
                </c:pt>
                <c:pt idx="17">
                  <c:v>1.0465763811140505E-9</c:v>
                </c:pt>
                <c:pt idx="18">
                  <c:v>3.4885871968981519E-10</c:v>
                </c:pt>
                <c:pt idx="19">
                  <c:v>1.1628631391147337E-10</c:v>
                </c:pt>
                <c:pt idx="20">
                  <c:v>3.876210463715779E-11</c:v>
                </c:pt>
                <c:pt idx="21">
                  <c:v>1.2920775560587572E-11</c:v>
                </c:pt>
                <c:pt idx="22">
                  <c:v>4.3069992017308323E-12</c:v>
                </c:pt>
                <c:pt idx="23">
                  <c:v>1.4357404154452524E-12</c:v>
                </c:pt>
                <c:pt idx="24">
                  <c:v>4.7850612361344247E-13</c:v>
                </c:pt>
                <c:pt idx="25">
                  <c:v>1.5942802633617248E-13</c:v>
                </c:pt>
                <c:pt idx="26">
                  <c:v>5.3068660577082483E-14</c:v>
                </c:pt>
                <c:pt idx="27">
                  <c:v>1.7763568394002505E-14</c:v>
                </c:pt>
                <c:pt idx="28">
                  <c:v>5.9952043329758453E-15</c:v>
                </c:pt>
                <c:pt idx="29">
                  <c:v>1.9984014443252818E-15</c:v>
                </c:pt>
                <c:pt idx="30">
                  <c:v>6.6613381477509392E-16</c:v>
                </c:pt>
                <c:pt idx="31">
                  <c:v>2.2204460492503131E-16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9B-4FE0-A4AE-EA32CA48C576}"/>
            </c:ext>
          </c:extLst>
        </c:ser>
        <c:ser>
          <c:idx val="3"/>
          <c:order val="3"/>
          <c:tx>
            <c:v>м.ньютона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погрешности!$A$2:$A$87</c:f>
              <c:numCache>
                <c:formatCode>General</c:formatCode>
                <c:ptCount val="8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</c:numCache>
            </c:numRef>
          </c:xVal>
          <c:yVal>
            <c:numRef>
              <c:f>погрешности!$E$2:$E$87</c:f>
              <c:numCache>
                <c:formatCode>General</c:formatCode>
                <c:ptCount val="86"/>
                <c:pt idx="0">
                  <c:v>0.41666666666666674</c:v>
                </c:pt>
                <c:pt idx="1">
                  <c:v>0.1068376068376069</c:v>
                </c:pt>
                <c:pt idx="2">
                  <c:v>9.8377170200374398E-3</c:v>
                </c:pt>
                <c:pt idx="3">
                  <c:v>9.5373292965383882E-5</c:v>
                </c:pt>
                <c:pt idx="4">
                  <c:v>9.0947638309302192E-9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9B-4FE0-A4AE-EA32CA48C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768992"/>
        <c:axId val="1051775648"/>
      </c:scatterChart>
      <c:valAx>
        <c:axId val="105176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775648"/>
        <c:crosses val="autoZero"/>
        <c:crossBetween val="midCat"/>
      </c:valAx>
      <c:valAx>
        <c:axId val="105177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768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погрешности!$A$2:$A$12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погрешности!$B$2:$B$12</c:f>
              <c:numCache>
                <c:formatCode>General</c:formatCode>
                <c:ptCount val="11"/>
                <c:pt idx="0">
                  <c:v>0.5</c:v>
                </c:pt>
                <c:pt idx="1">
                  <c:v>0.41176470588235292</c:v>
                </c:pt>
                <c:pt idx="2">
                  <c:v>0.32670237184391737</c:v>
                </c:pt>
                <c:pt idx="3">
                  <c:v>0.25001954395328374</c:v>
                </c:pt>
                <c:pt idx="4">
                  <c:v>0.18520119937903157</c:v>
                </c:pt>
                <c:pt idx="5">
                  <c:v>0.13346670868209043</c:v>
                </c:pt>
                <c:pt idx="6">
                  <c:v>9.4102571898701526E-2</c:v>
                </c:pt>
                <c:pt idx="7">
                  <c:v>6.5256738971511852E-2</c:v>
                </c:pt>
                <c:pt idx="8">
                  <c:v>4.4708021002898723E-2</c:v>
                </c:pt>
                <c:pt idx="9">
                  <c:v>3.0367201434778446E-2</c:v>
                </c:pt>
                <c:pt idx="10">
                  <c:v>2.050303513111984E-2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5A-48E4-8CDE-B14D7267DB7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погрешности!$A$2:$A$12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погрешности!$C$2:$C$12</c:f>
              <c:numCache>
                <c:formatCode>General</c:formatCode>
                <c:ptCount val="11"/>
                <c:pt idx="0">
                  <c:v>0.25</c:v>
                </c:pt>
                <c:pt idx="1">
                  <c:v>0.125</c:v>
                </c:pt>
                <c:pt idx="2">
                  <c:v>6.25E-2</c:v>
                </c:pt>
                <c:pt idx="3">
                  <c:v>3.125E-2</c:v>
                </c:pt>
                <c:pt idx="4">
                  <c:v>1.5625E-2</c:v>
                </c:pt>
                <c:pt idx="5">
                  <c:v>7.8125E-3</c:v>
                </c:pt>
                <c:pt idx="6">
                  <c:v>3.90625E-3</c:v>
                </c:pt>
                <c:pt idx="7">
                  <c:v>1.953125E-3</c:v>
                </c:pt>
                <c:pt idx="8">
                  <c:v>9.765625E-4</c:v>
                </c:pt>
                <c:pt idx="9">
                  <c:v>4.8828125E-4</c:v>
                </c:pt>
                <c:pt idx="10">
                  <c:v>2.44140625E-4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5A-48E4-8CDE-B14D7267DB7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погрешности!$A$2:$A$12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погрешности!$D$2:$D$12</c:f>
              <c:numCache>
                <c:formatCode>General</c:formatCode>
                <c:ptCount val="11"/>
                <c:pt idx="0">
                  <c:v>0.14471424255333187</c:v>
                </c:pt>
                <c:pt idx="1">
                  <c:v>4.6081918643214648E-2</c:v>
                </c:pt>
                <c:pt idx="2">
                  <c:v>1.5130551333631947E-2</c:v>
                </c:pt>
                <c:pt idx="3">
                  <c:v>5.0182917336516475E-3</c:v>
                </c:pt>
                <c:pt idx="4">
                  <c:v>1.6699735471550348E-3</c:v>
                </c:pt>
                <c:pt idx="5">
                  <c:v>5.5634826825512462E-4</c:v>
                </c:pt>
                <c:pt idx="6">
                  <c:v>1.854150418891809E-4</c:v>
                </c:pt>
                <c:pt idx="7">
                  <c:v>6.1801194496835521E-5</c:v>
                </c:pt>
                <c:pt idx="8">
                  <c:v>2.05999738038809E-5</c:v>
                </c:pt>
                <c:pt idx="9">
                  <c:v>6.8666107841952595E-6</c:v>
                </c:pt>
                <c:pt idx="10">
                  <c:v>2.2888650224039964E-6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5A-48E4-8CDE-B14D7267DB70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погрешности!$A$2:$A$12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погрешности!$E$2:$E$12</c:f>
              <c:numCache>
                <c:formatCode>General</c:formatCode>
                <c:ptCount val="11"/>
                <c:pt idx="0">
                  <c:v>0.41666666666666674</c:v>
                </c:pt>
                <c:pt idx="1">
                  <c:v>0.1068376068376069</c:v>
                </c:pt>
                <c:pt idx="2">
                  <c:v>9.8377170200374398E-3</c:v>
                </c:pt>
                <c:pt idx="3">
                  <c:v>9.5373292965383882E-5</c:v>
                </c:pt>
                <c:pt idx="4">
                  <c:v>9.0947638309302192E-9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45A-48E4-8CDE-B14D7267D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824320"/>
        <c:axId val="1051821408"/>
      </c:scatterChart>
      <c:valAx>
        <c:axId val="105182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821408"/>
        <c:crosses val="autoZero"/>
        <c:crossBetween val="midCat"/>
      </c:valAx>
      <c:valAx>
        <c:axId val="105182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824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533399</xdr:colOff>
      <xdr:row>1</xdr:row>
      <xdr:rowOff>23812</xdr:rowOff>
    </xdr:from>
    <xdr:to>
      <xdr:col>19</xdr:col>
      <xdr:colOff>371474</xdr:colOff>
      <xdr:row>16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A17675A-7BEF-4C0F-AC76-E91321886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0</xdr:row>
      <xdr:rowOff>171450</xdr:rowOff>
    </xdr:from>
    <xdr:to>
      <xdr:col>28</xdr:col>
      <xdr:colOff>200025</xdr:colOff>
      <xdr:row>16</xdr:row>
      <xdr:rowOff>128588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25F3625-7165-46EF-8506-8F5C9B126174}"/>
            </a:ext>
            <a:ext uri="{147F2762-F138-4A5C-976F-8EAC2B608ADB}">
              <a16:predDERef xmlns:a16="http://schemas.microsoft.com/office/drawing/2014/main" pred="{DA17675A-7BEF-4C0F-AC76-E91321886B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676275</xdr:colOff>
      <xdr:row>19</xdr:row>
      <xdr:rowOff>61912</xdr:rowOff>
    </xdr:from>
    <xdr:to>
      <xdr:col>15</xdr:col>
      <xdr:colOff>285750</xdr:colOff>
      <xdr:row>33</xdr:row>
      <xdr:rowOff>138112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37681C9-AED7-494A-BECD-AEEAD9BC4454}"/>
            </a:ext>
            <a:ext uri="{147F2762-F138-4A5C-976F-8EAC2B608ADB}">
              <a16:predDERef xmlns:a16="http://schemas.microsoft.com/office/drawing/2014/main" pred="{F25F3625-7165-46EF-8506-8F5C9B126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1314450</xdr:colOff>
      <xdr:row>13</xdr:row>
      <xdr:rowOff>95250</xdr:rowOff>
    </xdr:from>
    <xdr:to>
      <xdr:col>12</xdr:col>
      <xdr:colOff>561975</xdr:colOff>
      <xdr:row>27</xdr:row>
      <xdr:rowOff>171450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E7BB152-E406-8EEF-E5AA-9EA1EBA85C26}"/>
            </a:ext>
            <a:ext uri="{147F2762-F138-4A5C-976F-8EAC2B608ADB}">
              <a16:predDERef xmlns:a16="http://schemas.microsoft.com/office/drawing/2014/main" pred="{A37681C9-AED7-494A-BECD-AEEAD9BC4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771525</xdr:colOff>
      <xdr:row>24</xdr:row>
      <xdr:rowOff>71437</xdr:rowOff>
    </xdr:from>
    <xdr:to>
      <xdr:col>12</xdr:col>
      <xdr:colOff>257175</xdr:colOff>
      <xdr:row>38</xdr:row>
      <xdr:rowOff>147637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2D0E243-B480-4A29-B6D8-281BAA4FD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838200</xdr:colOff>
      <xdr:row>39</xdr:row>
      <xdr:rowOff>14287</xdr:rowOff>
    </xdr:from>
    <xdr:to>
      <xdr:col>12</xdr:col>
      <xdr:colOff>323850</xdr:colOff>
      <xdr:row>53</xdr:row>
      <xdr:rowOff>90487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93D1D66-3EBC-4F55-A398-CBC80263A245}"/>
            </a:ext>
            <a:ext uri="{147F2762-F138-4A5C-976F-8EAC2B608ADB}">
              <a16:predDERef xmlns:a16="http://schemas.microsoft.com/office/drawing/2014/main" pred="{D2D0E243-B480-4A29-B6D8-281BAA4FD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1028699</xdr:colOff>
      <xdr:row>9</xdr:row>
      <xdr:rowOff>23812</xdr:rowOff>
    </xdr:from>
    <xdr:to>
      <xdr:col>14</xdr:col>
      <xdr:colOff>552449</xdr:colOff>
      <xdr:row>25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C827BCA-B293-4E67-B576-1F875BBF3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85725</xdr:colOff>
      <xdr:row>23</xdr:row>
      <xdr:rowOff>138112</xdr:rowOff>
    </xdr:from>
    <xdr:to>
      <xdr:col>6</xdr:col>
      <xdr:colOff>742950</xdr:colOff>
      <xdr:row>38</xdr:row>
      <xdr:rowOff>23812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DF5612A-37CA-4807-A9A8-43660D1EB936}"/>
            </a:ext>
            <a:ext uri="{147F2762-F138-4A5C-976F-8EAC2B608ADB}">
              <a16:predDERef xmlns:a16="http://schemas.microsoft.com/office/drawing/2014/main" pred="{1C827BCA-B293-4E67-B576-1F875BBF3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2</xdr:row>
      <xdr:rowOff>166687</xdr:rowOff>
    </xdr:from>
    <xdr:to>
      <xdr:col>13</xdr:col>
      <xdr:colOff>219075</xdr:colOff>
      <xdr:row>17</xdr:row>
      <xdr:rowOff>52387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11C75D8-E7EB-43E9-9B6A-654894885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447675</xdr:colOff>
      <xdr:row>17</xdr:row>
      <xdr:rowOff>80962</xdr:rowOff>
    </xdr:from>
    <xdr:to>
      <xdr:col>13</xdr:col>
      <xdr:colOff>142875</xdr:colOff>
      <xdr:row>31</xdr:row>
      <xdr:rowOff>157162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7DD2A20-47F0-4E6A-A7D3-A344860C4CBA}"/>
            </a:ext>
            <a:ext uri="{147F2762-F138-4A5C-976F-8EAC2B608ADB}">
              <a16:predDERef xmlns:a16="http://schemas.microsoft.com/office/drawing/2014/main" pred="{A11C75D8-E7EB-43E9-9B6A-654894885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6D30-789B-4201-AD2F-520D0F3F2282}">
  <dimension ref="A1:H52"/>
  <sheetViews>
    <sheetView tabSelected="1" workbookViewId="0">
      <selection activeCell="O18" sqref="O18"/>
    </sheetView>
  </sheetViews>
  <sheetFormatPr defaultRowHeight="15"/>
  <cols>
    <col min="1" max="1" width="4.5703125" customWidth="1"/>
    <col min="2" max="3" width="12.5703125" bestFit="1" customWidth="1"/>
    <col min="4" max="4" width="20.42578125" customWidth="1"/>
    <col min="5" max="5" width="12.85546875" bestFit="1" customWidth="1"/>
    <col min="6" max="6" width="12.5703125" bestFit="1" customWidth="1"/>
    <col min="7" max="7" width="20.28515625" customWidth="1"/>
    <col min="8" max="8" width="12.5703125" bestFit="1" customWidth="1"/>
    <col min="9" max="9" width="19.5703125" customWidth="1"/>
  </cols>
  <sheetData>
    <row r="1" spans="1:8">
      <c r="A1" s="3"/>
      <c r="B1" s="2" t="s">
        <v>0</v>
      </c>
      <c r="C1" s="2" t="s">
        <v>1</v>
      </c>
      <c r="D1" s="2" t="s">
        <v>2</v>
      </c>
      <c r="E1" s="5" t="s">
        <v>3</v>
      </c>
      <c r="F1" s="5" t="s">
        <v>4</v>
      </c>
      <c r="G1" s="5" t="s">
        <v>5</v>
      </c>
      <c r="H1" s="2" t="s">
        <v>6</v>
      </c>
    </row>
    <row r="2" spans="1:8">
      <c r="A2" s="3">
        <v>1</v>
      </c>
      <c r="B2" s="2">
        <v>0.5</v>
      </c>
      <c r="C2" s="2">
        <v>2</v>
      </c>
      <c r="D2" s="2">
        <f>(B2+C2)/2</f>
        <v>1.25</v>
      </c>
      <c r="E2" s="5">
        <f>B2^3-B2</f>
        <v>-0.375</v>
      </c>
      <c r="F2" s="5">
        <f>C2^3-C2</f>
        <v>6</v>
      </c>
      <c r="G2" s="5">
        <f>D2^3-1</f>
        <v>0.953125</v>
      </c>
      <c r="H2" s="2">
        <f>ABS(1-D2)</f>
        <v>0.25</v>
      </c>
    </row>
    <row r="3" spans="1:8">
      <c r="A3" s="3">
        <v>2</v>
      </c>
      <c r="B3" s="2">
        <f>IF(E2*G2&lt;0,B2,D2)</f>
        <v>0.5</v>
      </c>
      <c r="C3" s="2">
        <f>IF(F2*G2&lt;0,C2,D2)</f>
        <v>1.25</v>
      </c>
      <c r="D3" s="2">
        <f t="shared" ref="D3:D7" si="0">(B3+C3)/2</f>
        <v>0.875</v>
      </c>
      <c r="E3" s="5">
        <f t="shared" ref="E3:E32" si="1">B3^3-B3</f>
        <v>-0.375</v>
      </c>
      <c r="F3" s="5">
        <f t="shared" ref="F3:F32" si="2">C3^3-C3</f>
        <v>0.703125</v>
      </c>
      <c r="G3" s="5">
        <f t="shared" ref="G3:G7" si="3">D3^3-1</f>
        <v>-0.330078125</v>
      </c>
      <c r="H3" s="2">
        <f>ABS(1-D3)</f>
        <v>0.125</v>
      </c>
    </row>
    <row r="4" spans="1:8">
      <c r="A4" s="3">
        <v>3</v>
      </c>
      <c r="B4" s="2">
        <f t="shared" ref="B4:B7" si="4">IF(E3*G3&lt;0,B3,D3)</f>
        <v>0.875</v>
      </c>
      <c r="C4" s="2">
        <f t="shared" ref="C4:C7" si="5">IF(F3*G3&lt;0,C3,D3)</f>
        <v>1.25</v>
      </c>
      <c r="D4" s="2">
        <f t="shared" si="0"/>
        <v>1.0625</v>
      </c>
      <c r="E4" s="5">
        <f t="shared" si="1"/>
        <v>-0.205078125</v>
      </c>
      <c r="F4" s="5">
        <f t="shared" si="2"/>
        <v>0.703125</v>
      </c>
      <c r="G4" s="5">
        <f t="shared" si="3"/>
        <v>0.199462890625</v>
      </c>
      <c r="H4" s="2">
        <f>ABS(1-D4)</f>
        <v>6.25E-2</v>
      </c>
    </row>
    <row r="5" spans="1:8">
      <c r="A5" s="3">
        <v>4</v>
      </c>
      <c r="B5" s="2">
        <f t="shared" si="4"/>
        <v>0.875</v>
      </c>
      <c r="C5" s="2">
        <f t="shared" si="5"/>
        <v>1.0625</v>
      </c>
      <c r="D5" s="2">
        <f t="shared" si="0"/>
        <v>0.96875</v>
      </c>
      <c r="E5" s="5">
        <f t="shared" si="1"/>
        <v>-0.205078125</v>
      </c>
      <c r="F5" s="5">
        <f t="shared" si="2"/>
        <v>0.136962890625</v>
      </c>
      <c r="G5" s="5">
        <f t="shared" si="3"/>
        <v>-9.0850830078125E-2</v>
      </c>
      <c r="H5" s="2">
        <f>ABS(1-D5)</f>
        <v>3.125E-2</v>
      </c>
    </row>
    <row r="6" spans="1:8">
      <c r="A6" s="3">
        <v>5</v>
      </c>
      <c r="B6" s="2">
        <f t="shared" si="4"/>
        <v>0.96875</v>
      </c>
      <c r="C6" s="2">
        <f t="shared" si="5"/>
        <v>1.0625</v>
      </c>
      <c r="D6" s="2">
        <f t="shared" si="0"/>
        <v>1.015625</v>
      </c>
      <c r="E6" s="5">
        <f t="shared" si="1"/>
        <v>-5.9600830078125E-2</v>
      </c>
      <c r="F6" s="5">
        <f t="shared" si="2"/>
        <v>0.136962890625</v>
      </c>
      <c r="G6" s="5">
        <f t="shared" si="3"/>
        <v>4.7611236572265625E-2</v>
      </c>
      <c r="H6" s="2">
        <f>ABS(1-D6)</f>
        <v>1.5625E-2</v>
      </c>
    </row>
    <row r="7" spans="1:8">
      <c r="A7" s="3">
        <v>6</v>
      </c>
      <c r="B7" s="2">
        <f t="shared" si="4"/>
        <v>0.96875</v>
      </c>
      <c r="C7" s="2">
        <f t="shared" si="5"/>
        <v>1.015625</v>
      </c>
      <c r="D7" s="2">
        <f t="shared" si="0"/>
        <v>0.9921875</v>
      </c>
      <c r="E7" s="5">
        <f t="shared" si="1"/>
        <v>-5.9600830078125E-2</v>
      </c>
      <c r="F7" s="5">
        <f t="shared" si="2"/>
        <v>3.1986236572265625E-2</v>
      </c>
      <c r="G7" s="5">
        <f t="shared" si="3"/>
        <v>-2.3254871368408203E-2</v>
      </c>
      <c r="H7" s="2">
        <f>ABS(1-D7)</f>
        <v>7.8125E-3</v>
      </c>
    </row>
    <row r="8" spans="1:8">
      <c r="A8" s="3">
        <v>7</v>
      </c>
      <c r="B8" s="2">
        <f t="shared" ref="B8:B15" si="6">IF(E7*G7&lt;0,B7,D7)</f>
        <v>0.9921875</v>
      </c>
      <c r="C8" s="2">
        <f t="shared" ref="C8:C15" si="7">IF(F7*G7&lt;0,C7,D7)</f>
        <v>1.015625</v>
      </c>
      <c r="D8" s="2">
        <f t="shared" ref="D8:D15" si="8">(B8+C8)/2</f>
        <v>1.00390625</v>
      </c>
      <c r="E8" s="5">
        <f t="shared" si="1"/>
        <v>-1.5442371368408203E-2</v>
      </c>
      <c r="F8" s="5">
        <f t="shared" si="2"/>
        <v>3.1986236572265625E-2</v>
      </c>
      <c r="G8" s="5">
        <f t="shared" ref="G8:G15" si="9">D8^3-1</f>
        <v>1.1764585971832275E-2</v>
      </c>
      <c r="H8" s="2">
        <f>ABS(1-D8)</f>
        <v>3.90625E-3</v>
      </c>
    </row>
    <row r="9" spans="1:8">
      <c r="A9" s="3">
        <v>8</v>
      </c>
      <c r="B9" s="2">
        <f t="shared" si="6"/>
        <v>0.9921875</v>
      </c>
      <c r="C9" s="2">
        <f>IF(F8*G8&lt;0,C8,D8)</f>
        <v>1.00390625</v>
      </c>
      <c r="D9" s="2">
        <f t="shared" si="8"/>
        <v>0.998046875</v>
      </c>
      <c r="E9" s="5">
        <f t="shared" si="1"/>
        <v>-1.5442371368408203E-2</v>
      </c>
      <c r="F9" s="5">
        <f t="shared" si="2"/>
        <v>7.8583359718322754E-3</v>
      </c>
      <c r="G9" s="5">
        <f t="shared" si="9"/>
        <v>-5.8479383587837219E-3</v>
      </c>
      <c r="H9" s="2">
        <f>ABS(1-D9)</f>
        <v>1.953125E-3</v>
      </c>
    </row>
    <row r="10" spans="1:8">
      <c r="A10" s="3">
        <v>9</v>
      </c>
      <c r="B10" s="2">
        <f t="shared" si="6"/>
        <v>0.998046875</v>
      </c>
      <c r="C10" s="2">
        <f t="shared" si="7"/>
        <v>1.00390625</v>
      </c>
      <c r="D10" s="2">
        <f t="shared" si="8"/>
        <v>1.0009765625</v>
      </c>
      <c r="E10" s="5">
        <f t="shared" si="1"/>
        <v>-3.8948133587837219E-3</v>
      </c>
      <c r="F10" s="5">
        <f t="shared" si="2"/>
        <v>7.8583359718322754E-3</v>
      </c>
      <c r="G10" s="5">
        <f t="shared" si="9"/>
        <v>2.9325494542717934E-3</v>
      </c>
      <c r="H10" s="2">
        <f>ABS(1-D10)</f>
        <v>9.765625E-4</v>
      </c>
    </row>
    <row r="11" spans="1:8">
      <c r="A11" s="3">
        <v>10</v>
      </c>
      <c r="B11" s="2">
        <f t="shared" si="6"/>
        <v>0.998046875</v>
      </c>
      <c r="C11" s="2">
        <f t="shared" si="7"/>
        <v>1.0009765625</v>
      </c>
      <c r="D11" s="2">
        <f t="shared" si="8"/>
        <v>0.99951171875</v>
      </c>
      <c r="E11" s="5">
        <f t="shared" si="1"/>
        <v>-3.8948133587837219E-3</v>
      </c>
      <c r="F11" s="5">
        <f t="shared" si="2"/>
        <v>1.9559869542717934E-3</v>
      </c>
      <c r="G11" s="5">
        <f t="shared" si="9"/>
        <v>-1.4641286106780171E-3</v>
      </c>
      <c r="H11" s="2">
        <f>ABS(1-D11)</f>
        <v>4.8828125E-4</v>
      </c>
    </row>
    <row r="12" spans="1:8">
      <c r="A12" s="3">
        <v>11</v>
      </c>
      <c r="B12" s="2">
        <f t="shared" si="6"/>
        <v>0.99951171875</v>
      </c>
      <c r="C12" s="2">
        <f t="shared" si="7"/>
        <v>1.0009765625</v>
      </c>
      <c r="D12" s="2">
        <f t="shared" si="8"/>
        <v>1.000244140625</v>
      </c>
      <c r="E12" s="5">
        <f t="shared" si="1"/>
        <v>-9.7584736067801714E-4</v>
      </c>
      <c r="F12" s="5">
        <f t="shared" si="2"/>
        <v>1.9559869542717934E-3</v>
      </c>
      <c r="G12" s="5">
        <f t="shared" si="9"/>
        <v>7.326007034862414E-4</v>
      </c>
      <c r="H12" s="2">
        <f>ABS(1-D12)</f>
        <v>2.44140625E-4</v>
      </c>
    </row>
    <row r="13" spans="1:8">
      <c r="A13" s="3">
        <v>12</v>
      </c>
      <c r="B13" s="2">
        <f t="shared" si="6"/>
        <v>0.99951171875</v>
      </c>
      <c r="C13" s="2">
        <f t="shared" si="7"/>
        <v>1.000244140625</v>
      </c>
      <c r="D13" s="2">
        <f t="shared" si="8"/>
        <v>0.9998779296875</v>
      </c>
      <c r="E13" s="5">
        <f t="shared" si="1"/>
        <v>-9.7584736067801714E-4</v>
      </c>
      <c r="F13" s="5">
        <f t="shared" si="2"/>
        <v>4.884600784862414E-4</v>
      </c>
      <c r="G13" s="5">
        <f t="shared" si="9"/>
        <v>-3.6616623583540786E-4</v>
      </c>
      <c r="H13" s="2">
        <f>ABS(1-D13)</f>
        <v>1.220703125E-4</v>
      </c>
    </row>
    <row r="14" spans="1:8">
      <c r="A14" s="3">
        <v>13</v>
      </c>
      <c r="B14" s="2">
        <f t="shared" si="6"/>
        <v>0.9998779296875</v>
      </c>
      <c r="C14" s="2">
        <f t="shared" si="7"/>
        <v>1.000244140625</v>
      </c>
      <c r="D14" s="2">
        <f t="shared" si="8"/>
        <v>1.00006103515625</v>
      </c>
      <c r="E14" s="5">
        <f t="shared" si="1"/>
        <v>-2.4409592333540786E-4</v>
      </c>
      <c r="F14" s="5">
        <f t="shared" si="2"/>
        <v>4.884600784862414E-4</v>
      </c>
      <c r="G14" s="5">
        <f t="shared" si="9"/>
        <v>1.8311664484826906E-4</v>
      </c>
      <c r="H14" s="2">
        <f>ABS(1-D14)</f>
        <v>6.103515625E-5</v>
      </c>
    </row>
    <row r="15" spans="1:8">
      <c r="A15" s="3">
        <v>14</v>
      </c>
      <c r="B15" s="2">
        <f t="shared" si="6"/>
        <v>0.9998779296875</v>
      </c>
      <c r="C15" s="2">
        <f t="shared" si="7"/>
        <v>1.00006103515625</v>
      </c>
      <c r="D15" s="2">
        <f t="shared" si="8"/>
        <v>0.999969482421875</v>
      </c>
      <c r="E15" s="5">
        <f t="shared" si="1"/>
        <v>-2.4409592333540786E-4</v>
      </c>
      <c r="F15" s="5">
        <f t="shared" si="2"/>
        <v>1.2208148859826906E-4</v>
      </c>
      <c r="G15" s="5">
        <f t="shared" si="9"/>
        <v>-9.1549940435697863E-5</v>
      </c>
      <c r="H15" s="2">
        <f>ABS(1-D15)</f>
        <v>3.0517578125E-5</v>
      </c>
    </row>
    <row r="16" spans="1:8">
      <c r="A16" s="3">
        <v>15</v>
      </c>
      <c r="B16" s="2">
        <f t="shared" ref="B16:B30" si="10">IF(E15*G15&lt;0,B15,D15)</f>
        <v>0.999969482421875</v>
      </c>
      <c r="C16" s="2">
        <f t="shared" ref="C16:C30" si="11">IF(F15*G15&lt;0,C15,D15)</f>
        <v>1.00006103515625</v>
      </c>
      <c r="D16" s="2">
        <f t="shared" ref="D16:D30" si="12">(B16+C16)/2</f>
        <v>1.0000152587890625</v>
      </c>
      <c r="E16" s="5">
        <f t="shared" si="1"/>
        <v>-6.1032362310697863E-5</v>
      </c>
      <c r="F16" s="5">
        <f t="shared" si="2"/>
        <v>1.2208148859826906E-4</v>
      </c>
      <c r="G16" s="5">
        <f t="shared" ref="G16:G30" si="13">D16^3-1</f>
        <v>4.5777065682983675E-5</v>
      </c>
      <c r="H16" s="2">
        <f>ABS(1-D16)</f>
        <v>1.52587890625E-5</v>
      </c>
    </row>
    <row r="17" spans="1:8">
      <c r="A17" s="3">
        <v>16</v>
      </c>
      <c r="B17" s="2">
        <f t="shared" si="10"/>
        <v>0.999969482421875</v>
      </c>
      <c r="C17" s="2">
        <f t="shared" si="11"/>
        <v>1.0000152587890625</v>
      </c>
      <c r="D17" s="2">
        <f t="shared" si="12"/>
        <v>0.99999237060546875</v>
      </c>
      <c r="E17" s="5">
        <f t="shared" si="1"/>
        <v>-6.1032362310697863E-5</v>
      </c>
      <c r="F17" s="5">
        <f t="shared" si="2"/>
        <v>3.0518276620483675E-5</v>
      </c>
      <c r="G17" s="5">
        <f t="shared" si="13"/>
        <v>-2.2888008971211349E-5</v>
      </c>
      <c r="H17" s="2">
        <f>ABS(1-D17)</f>
        <v>7.62939453125E-6</v>
      </c>
    </row>
    <row r="18" spans="1:8">
      <c r="A18" s="3">
        <v>17</v>
      </c>
      <c r="B18" s="2">
        <f t="shared" si="10"/>
        <v>0.99999237060546875</v>
      </c>
      <c r="C18" s="2">
        <f t="shared" si="11"/>
        <v>1.0000152587890625</v>
      </c>
      <c r="D18" s="2">
        <f t="shared" si="12"/>
        <v>1.0000038146972656</v>
      </c>
      <c r="E18" s="5">
        <f t="shared" si="1"/>
        <v>-1.5258614439961349E-5</v>
      </c>
      <c r="F18" s="5">
        <f t="shared" si="2"/>
        <v>3.0518276620483675E-5</v>
      </c>
      <c r="G18" s="5">
        <f t="shared" si="13"/>
        <v>1.1444135452620685E-5</v>
      </c>
      <c r="H18" s="2">
        <f>ABS(1-D18)</f>
        <v>3.814697265625E-6</v>
      </c>
    </row>
    <row r="19" spans="1:8">
      <c r="A19" s="3">
        <v>18</v>
      </c>
      <c r="B19" s="2">
        <f t="shared" si="10"/>
        <v>0.99999237060546875</v>
      </c>
      <c r="C19" s="2">
        <f t="shared" si="11"/>
        <v>1.0000038146972656</v>
      </c>
      <c r="D19" s="2">
        <f t="shared" si="12"/>
        <v>0.99999809265136719</v>
      </c>
      <c r="E19" s="5">
        <f t="shared" si="1"/>
        <v>-1.5258614439961349E-5</v>
      </c>
      <c r="F19" s="5">
        <f t="shared" si="2"/>
        <v>7.6294381869956851E-6</v>
      </c>
      <c r="G19" s="5">
        <f t="shared" si="13"/>
        <v>-5.7220349845010787E-6</v>
      </c>
      <c r="H19" s="2">
        <f>ABS(1-D19)</f>
        <v>1.9073486328125E-6</v>
      </c>
    </row>
    <row r="20" spans="1:8">
      <c r="A20" s="3">
        <v>19</v>
      </c>
      <c r="B20" s="2">
        <f t="shared" si="10"/>
        <v>0.99999809265136719</v>
      </c>
      <c r="C20" s="2">
        <f t="shared" si="11"/>
        <v>1.0000038146972656</v>
      </c>
      <c r="D20" s="2">
        <f t="shared" si="12"/>
        <v>1.0000009536743164</v>
      </c>
      <c r="E20" s="5">
        <f t="shared" si="1"/>
        <v>-3.8146863516885787E-6</v>
      </c>
      <c r="F20" s="5">
        <f t="shared" si="2"/>
        <v>7.6294381869956851E-6</v>
      </c>
      <c r="G20" s="5">
        <f t="shared" si="13"/>
        <v>2.8610256777028553E-6</v>
      </c>
      <c r="H20" s="2">
        <f>ABS(1-D20)</f>
        <v>9.5367431640625E-7</v>
      </c>
    </row>
    <row r="21" spans="1:8">
      <c r="A21" s="3">
        <v>20</v>
      </c>
      <c r="B21" s="2">
        <f t="shared" si="10"/>
        <v>0.99999809265136719</v>
      </c>
      <c r="C21" s="2">
        <f t="shared" si="11"/>
        <v>1.0000009536743164</v>
      </c>
      <c r="D21" s="2">
        <f t="shared" si="12"/>
        <v>0.9999995231628418</v>
      </c>
      <c r="E21" s="5">
        <f t="shared" si="1"/>
        <v>-3.8146863516885787E-6</v>
      </c>
      <c r="F21" s="5">
        <f t="shared" si="2"/>
        <v>1.9073513612966053E-6</v>
      </c>
      <c r="G21" s="5">
        <f t="shared" si="13"/>
        <v>-1.4305107924883487E-6</v>
      </c>
      <c r="H21" s="2">
        <f>ABS(1-D21)</f>
        <v>4.76837158203125E-7</v>
      </c>
    </row>
    <row r="22" spans="1:8">
      <c r="A22" s="3">
        <v>21</v>
      </c>
      <c r="B22" s="2">
        <f t="shared" si="10"/>
        <v>0.9999995231628418</v>
      </c>
      <c r="C22" s="2">
        <f t="shared" si="11"/>
        <v>1.0000009536743164</v>
      </c>
      <c r="D22" s="2">
        <f t="shared" si="12"/>
        <v>1.0000002384185791</v>
      </c>
      <c r="E22" s="5">
        <f t="shared" si="1"/>
        <v>-9.5367363428522367E-7</v>
      </c>
      <c r="F22" s="5">
        <f t="shared" si="2"/>
        <v>1.9073513612966053E-6</v>
      </c>
      <c r="G22" s="5">
        <f t="shared" si="13"/>
        <v>7.1525590783494408E-7</v>
      </c>
      <c r="H22" s="2">
        <f>ABS(1-D22)</f>
        <v>2.384185791015625E-7</v>
      </c>
    </row>
    <row r="23" spans="1:8">
      <c r="A23" s="3">
        <v>22</v>
      </c>
      <c r="B23" s="2">
        <f t="shared" si="10"/>
        <v>0.9999995231628418</v>
      </c>
      <c r="C23" s="2">
        <f t="shared" si="11"/>
        <v>1.0000002384185791</v>
      </c>
      <c r="D23" s="2">
        <f t="shared" si="12"/>
        <v>0.99999988079071045</v>
      </c>
      <c r="E23" s="5">
        <f t="shared" si="1"/>
        <v>-9.5367363428522367E-7</v>
      </c>
      <c r="F23" s="5">
        <f t="shared" si="2"/>
        <v>4.7683732873338158E-7</v>
      </c>
      <c r="G23" s="5">
        <f t="shared" si="13"/>
        <v>-3.576278260197796E-7</v>
      </c>
      <c r="H23" s="2">
        <f>ABS(1-D23)</f>
        <v>1.1920928955078125E-7</v>
      </c>
    </row>
    <row r="24" spans="1:8">
      <c r="A24" s="3">
        <v>23</v>
      </c>
      <c r="B24" s="2">
        <f t="shared" si="10"/>
        <v>0.99999988079071045</v>
      </c>
      <c r="C24" s="2">
        <f t="shared" si="11"/>
        <v>1.0000002384185791</v>
      </c>
      <c r="D24" s="2">
        <f t="shared" si="12"/>
        <v>1.0000000596046448</v>
      </c>
      <c r="E24" s="5">
        <f t="shared" si="1"/>
        <v>-2.3841853646899835E-7</v>
      </c>
      <c r="F24" s="5">
        <f t="shared" si="2"/>
        <v>4.7683732873338158E-7</v>
      </c>
      <c r="G24" s="5">
        <f t="shared" si="13"/>
        <v>1.7881394498431291E-7</v>
      </c>
      <c r="H24" s="2">
        <f>ABS(1-D24)</f>
        <v>5.9604644775390625E-8</v>
      </c>
    </row>
    <row r="25" spans="1:8">
      <c r="A25" s="3">
        <v>24</v>
      </c>
      <c r="B25" s="2">
        <f t="shared" si="10"/>
        <v>0.99999988079071045</v>
      </c>
      <c r="C25" s="2">
        <f t="shared" si="11"/>
        <v>1.0000000596046448</v>
      </c>
      <c r="D25" s="2">
        <f t="shared" si="12"/>
        <v>0.99999997019767761</v>
      </c>
      <c r="E25" s="5">
        <f t="shared" si="1"/>
        <v>-2.3841853646899835E-7</v>
      </c>
      <c r="F25" s="5">
        <f t="shared" si="2"/>
        <v>1.1920930020892229E-7</v>
      </c>
      <c r="G25" s="5">
        <f t="shared" si="13"/>
        <v>-8.9406964498550678E-8</v>
      </c>
      <c r="H25" s="2">
        <f>ABS(1-D25)</f>
        <v>2.9802322387695313E-8</v>
      </c>
    </row>
    <row r="26" spans="1:8">
      <c r="A26" s="3">
        <v>25</v>
      </c>
      <c r="B26" s="2">
        <f t="shared" si="10"/>
        <v>0.99999997019767761</v>
      </c>
      <c r="C26" s="2">
        <f t="shared" si="11"/>
        <v>1.0000000596046448</v>
      </c>
      <c r="D26" s="2">
        <f t="shared" si="12"/>
        <v>1.0000000149011612</v>
      </c>
      <c r="E26" s="5">
        <f t="shared" si="1"/>
        <v>-5.9604642110855366E-8</v>
      </c>
      <c r="F26" s="5">
        <f t="shared" si="2"/>
        <v>1.1920930020892229E-7</v>
      </c>
      <c r="G26" s="5">
        <f t="shared" si="13"/>
        <v>4.4703484247676784E-8</v>
      </c>
      <c r="H26" s="2">
        <f>ABS(1-D26)</f>
        <v>1.4901161193847656E-8</v>
      </c>
    </row>
    <row r="27" spans="1:8">
      <c r="A27" s="3">
        <v>26</v>
      </c>
      <c r="B27" s="2">
        <f t="shared" si="10"/>
        <v>0.99999997019767761</v>
      </c>
      <c r="C27" s="2">
        <f t="shared" si="11"/>
        <v>1.0000000149011612</v>
      </c>
      <c r="D27" s="2">
        <f t="shared" si="12"/>
        <v>0.9999999925494194</v>
      </c>
      <c r="E27" s="5">
        <f t="shared" si="1"/>
        <v>-5.9604642110855366E-8</v>
      </c>
      <c r="F27" s="5">
        <f t="shared" si="2"/>
        <v>2.9802323053829127E-8</v>
      </c>
      <c r="G27" s="5">
        <f t="shared" si="13"/>
        <v>-2.2351741679749182E-8</v>
      </c>
      <c r="H27" s="2">
        <f>ABS(1-D27)</f>
        <v>7.4505805969238281E-9</v>
      </c>
    </row>
    <row r="28" spans="1:8">
      <c r="A28" s="3">
        <v>27</v>
      </c>
      <c r="B28" s="2">
        <f t="shared" si="10"/>
        <v>0.9999999925494194</v>
      </c>
      <c r="C28" s="2">
        <f t="shared" si="11"/>
        <v>1.0000000149011612</v>
      </c>
      <c r="D28" s="2">
        <f t="shared" si="12"/>
        <v>1.0000000037252903</v>
      </c>
      <c r="E28" s="5">
        <f t="shared" si="1"/>
        <v>-1.4901161082825354E-8</v>
      </c>
      <c r="F28" s="5">
        <f t="shared" si="2"/>
        <v>2.9802323053829127E-8</v>
      </c>
      <c r="G28" s="5">
        <f t="shared" si="13"/>
        <v>1.1175870895385742E-8</v>
      </c>
      <c r="H28" s="2">
        <f>ABS(1-D28)</f>
        <v>3.7252902984619141E-9</v>
      </c>
    </row>
    <row r="29" spans="1:8">
      <c r="A29" s="3">
        <v>28</v>
      </c>
      <c r="B29" s="2">
        <f t="shared" si="10"/>
        <v>0.9999999925494194</v>
      </c>
      <c r="C29" s="2">
        <f t="shared" si="11"/>
        <v>1.0000000037252903</v>
      </c>
      <c r="D29" s="2">
        <f t="shared" si="12"/>
        <v>0.99999999813735485</v>
      </c>
      <c r="E29" s="5">
        <f t="shared" si="1"/>
        <v>-1.4901161082825354E-8</v>
      </c>
      <c r="F29" s="5">
        <f t="shared" si="2"/>
        <v>7.4505805969238281E-9</v>
      </c>
      <c r="G29" s="5">
        <f t="shared" si="13"/>
        <v>-5.5879354476928711E-9</v>
      </c>
      <c r="H29" s="2">
        <f>ABS(1-D29)</f>
        <v>1.862645149230957E-9</v>
      </c>
    </row>
    <row r="30" spans="1:8">
      <c r="A30" s="3">
        <v>29</v>
      </c>
      <c r="B30" s="2">
        <f t="shared" si="10"/>
        <v>0.99999999813735485</v>
      </c>
      <c r="C30" s="2">
        <f t="shared" si="11"/>
        <v>1.0000000037252903</v>
      </c>
      <c r="D30" s="2">
        <f>(B30+C30)/2</f>
        <v>1.0000000009313226</v>
      </c>
      <c r="E30" s="5">
        <f t="shared" si="1"/>
        <v>-3.7252902984619141E-9</v>
      </c>
      <c r="F30" s="5">
        <f t="shared" si="2"/>
        <v>7.4505805969238281E-9</v>
      </c>
      <c r="G30" s="5">
        <f t="shared" si="13"/>
        <v>2.7939677238464355E-9</v>
      </c>
      <c r="H30" s="2">
        <f>ABS(1-D30)</f>
        <v>9.3132257461547852E-10</v>
      </c>
    </row>
    <row r="31" spans="1:8">
      <c r="A31" s="3">
        <v>30</v>
      </c>
      <c r="B31" s="2">
        <f t="shared" ref="B31:B32" si="14">IF(E30*G30&lt;0,B30,D30)</f>
        <v>0.99999999813735485</v>
      </c>
      <c r="C31" s="2">
        <f t="shared" ref="C31:C32" si="15">IF(F30*G30&lt;0,C30,D30)</f>
        <v>1.0000000009313226</v>
      </c>
      <c r="D31" s="2">
        <f t="shared" ref="D31:D32" si="16">(B31+C31)/2</f>
        <v>0.99999999953433871</v>
      </c>
      <c r="E31" s="5">
        <f t="shared" si="1"/>
        <v>-3.7252902984619141E-9</v>
      </c>
      <c r="F31" s="5">
        <f t="shared" si="2"/>
        <v>1.862645149230957E-9</v>
      </c>
      <c r="G31" s="5">
        <f t="shared" ref="G31:G32" si="17">D31^3-1</f>
        <v>-1.3969838619232178E-9</v>
      </c>
      <c r="H31" s="2">
        <f>ABS(1-D31)</f>
        <v>4.6566128730773926E-10</v>
      </c>
    </row>
    <row r="32" spans="1:8">
      <c r="A32" s="3">
        <v>31</v>
      </c>
      <c r="B32" s="2">
        <f t="shared" si="14"/>
        <v>0.99999999953433871</v>
      </c>
      <c r="C32" s="2">
        <f t="shared" si="15"/>
        <v>1.0000000009313226</v>
      </c>
      <c r="D32" s="2">
        <f t="shared" si="16"/>
        <v>1.0000000002328306</v>
      </c>
      <c r="E32" s="5">
        <f t="shared" si="1"/>
        <v>-9.3132257461547852E-10</v>
      </c>
      <c r="F32" s="5">
        <f t="shared" si="2"/>
        <v>1.862645149230957E-9</v>
      </c>
      <c r="G32" s="5">
        <f t="shared" si="17"/>
        <v>6.9849193096160889E-10</v>
      </c>
      <c r="H32" s="2">
        <f>ABS(1-D32)</f>
        <v>2.3283064365386963E-10</v>
      </c>
    </row>
    <row r="33" spans="1:8">
      <c r="A33" s="3">
        <v>32</v>
      </c>
      <c r="B33" s="2">
        <f t="shared" ref="B33:B52" si="18">IF(E32*G32&lt;0,B32,D32)</f>
        <v>0.99999999953433871</v>
      </c>
      <c r="C33" s="2">
        <f t="shared" ref="C33:C52" si="19">IF(F32*G32&lt;0,C32,D32)</f>
        <v>1.0000000002328306</v>
      </c>
      <c r="D33" s="2">
        <f t="shared" ref="D33:D52" si="20">(B33+C33)/2</f>
        <v>0.99999999988358468</v>
      </c>
      <c r="E33" s="5">
        <f t="shared" ref="E33:E52" si="21">B33^3-B33</f>
        <v>-9.3132257461547852E-10</v>
      </c>
      <c r="F33" s="5">
        <f t="shared" ref="F33:F52" si="22">C33^3-C33</f>
        <v>4.6566128730773926E-10</v>
      </c>
      <c r="G33" s="5">
        <f t="shared" ref="G33:G52" si="23">D33^3-1</f>
        <v>-3.4924596548080444E-10</v>
      </c>
      <c r="H33" s="2">
        <f>ABS(1-D33)</f>
        <v>1.1641532182693481E-10</v>
      </c>
    </row>
    <row r="34" spans="1:8">
      <c r="A34" s="3">
        <v>33</v>
      </c>
      <c r="B34" s="2">
        <f t="shared" si="18"/>
        <v>0.99999999988358468</v>
      </c>
      <c r="C34" s="2">
        <f t="shared" si="19"/>
        <v>1.0000000002328306</v>
      </c>
      <c r="D34" s="2">
        <f t="shared" si="20"/>
        <v>1.0000000000582077</v>
      </c>
      <c r="E34" s="5">
        <f t="shared" si="21"/>
        <v>-2.3283064365386963E-10</v>
      </c>
      <c r="F34" s="5">
        <f t="shared" si="22"/>
        <v>4.6566128730773926E-10</v>
      </c>
      <c r="G34" s="5">
        <f t="shared" si="23"/>
        <v>1.7462298274040222E-10</v>
      </c>
      <c r="H34" s="2">
        <f>ABS(1-D34)</f>
        <v>5.8207660913467407E-11</v>
      </c>
    </row>
    <row r="35" spans="1:8">
      <c r="A35" s="3">
        <v>34</v>
      </c>
      <c r="B35" s="2">
        <f t="shared" si="18"/>
        <v>0.99999999988358468</v>
      </c>
      <c r="C35" s="2">
        <f t="shared" si="19"/>
        <v>1.0000000000582077</v>
      </c>
      <c r="D35" s="2">
        <f t="shared" si="20"/>
        <v>0.99999999997089617</v>
      </c>
      <c r="E35" s="5">
        <f t="shared" si="21"/>
        <v>-2.3283064365386963E-10</v>
      </c>
      <c r="F35" s="5">
        <f t="shared" si="22"/>
        <v>1.1641532182693481E-10</v>
      </c>
      <c r="G35" s="5">
        <f t="shared" si="23"/>
        <v>-8.7311491370201111E-11</v>
      </c>
      <c r="H35" s="2">
        <f>ABS(1-D35)</f>
        <v>2.9103830456733704E-11</v>
      </c>
    </row>
    <row r="36" spans="1:8">
      <c r="A36" s="3">
        <v>35</v>
      </c>
      <c r="B36" s="2">
        <f t="shared" si="18"/>
        <v>0.99999999997089617</v>
      </c>
      <c r="C36" s="2">
        <f t="shared" si="19"/>
        <v>1.0000000000582077</v>
      </c>
      <c r="D36" s="2">
        <f t="shared" si="20"/>
        <v>1.0000000000145519</v>
      </c>
      <c r="E36" s="5">
        <f t="shared" si="21"/>
        <v>-5.8207660913467407E-11</v>
      </c>
      <c r="F36" s="5">
        <f t="shared" si="22"/>
        <v>1.1641532182693481E-10</v>
      </c>
      <c r="G36" s="5">
        <f t="shared" si="23"/>
        <v>4.3655745685100555E-11</v>
      </c>
      <c r="H36" s="2">
        <f>ABS(1-D36)</f>
        <v>1.4551915228366852E-11</v>
      </c>
    </row>
    <row r="37" spans="1:8">
      <c r="A37" s="3">
        <v>36</v>
      </c>
      <c r="B37" s="2">
        <f t="shared" si="18"/>
        <v>0.99999999997089617</v>
      </c>
      <c r="C37" s="2">
        <f t="shared" si="19"/>
        <v>1.0000000000145519</v>
      </c>
      <c r="D37" s="2">
        <f t="shared" si="20"/>
        <v>0.99999999999272404</v>
      </c>
      <c r="E37" s="5">
        <f t="shared" si="21"/>
        <v>-5.8207660913467407E-11</v>
      </c>
      <c r="F37" s="5">
        <f t="shared" si="22"/>
        <v>2.9103830456733704E-11</v>
      </c>
      <c r="G37" s="5">
        <f t="shared" si="23"/>
        <v>-2.1827872842550278E-11</v>
      </c>
      <c r="H37" s="2">
        <f>ABS(1-D37)</f>
        <v>7.2759576141834259E-12</v>
      </c>
    </row>
    <row r="38" spans="1:8">
      <c r="A38" s="3">
        <v>37</v>
      </c>
      <c r="B38" s="2">
        <f t="shared" si="18"/>
        <v>0.99999999999272404</v>
      </c>
      <c r="C38" s="2">
        <f t="shared" si="19"/>
        <v>1.0000000000145519</v>
      </c>
      <c r="D38" s="2">
        <f t="shared" si="20"/>
        <v>1.000000000003638</v>
      </c>
      <c r="E38" s="5">
        <f t="shared" si="21"/>
        <v>-1.4551915228366852E-11</v>
      </c>
      <c r="F38" s="5">
        <f t="shared" si="22"/>
        <v>2.9103830456733704E-11</v>
      </c>
      <c r="G38" s="5">
        <f t="shared" si="23"/>
        <v>1.0913936421275139E-11</v>
      </c>
      <c r="H38" s="2">
        <f>ABS(1-D38)</f>
        <v>3.637978807091713E-12</v>
      </c>
    </row>
    <row r="39" spans="1:8">
      <c r="A39" s="3">
        <v>38</v>
      </c>
      <c r="B39" s="2">
        <f t="shared" si="18"/>
        <v>0.99999999999272404</v>
      </c>
      <c r="C39" s="2">
        <f t="shared" si="19"/>
        <v>1.000000000003638</v>
      </c>
      <c r="D39" s="2">
        <f t="shared" si="20"/>
        <v>0.99999999999818101</v>
      </c>
      <c r="E39" s="5">
        <f t="shared" si="21"/>
        <v>-1.4551915228366852E-11</v>
      </c>
      <c r="F39" s="5">
        <f t="shared" si="22"/>
        <v>7.2759576141834259E-12</v>
      </c>
      <c r="G39" s="5">
        <f t="shared" si="23"/>
        <v>-5.4569682106375694E-12</v>
      </c>
      <c r="H39" s="2">
        <f>ABS(1-D39)</f>
        <v>1.8189894035458565E-12</v>
      </c>
    </row>
    <row r="40" spans="1:8">
      <c r="A40" s="3">
        <v>39</v>
      </c>
      <c r="B40" s="2">
        <f t="shared" si="18"/>
        <v>0.99999999999818101</v>
      </c>
      <c r="C40" s="2">
        <f t="shared" si="19"/>
        <v>1.000000000003638</v>
      </c>
      <c r="D40" s="2">
        <f t="shared" si="20"/>
        <v>1.0000000000009095</v>
      </c>
      <c r="E40" s="5">
        <f t="shared" si="21"/>
        <v>-3.637978807091713E-12</v>
      </c>
      <c r="F40" s="5">
        <f t="shared" si="22"/>
        <v>7.2759576141834259E-12</v>
      </c>
      <c r="G40" s="5">
        <f t="shared" si="23"/>
        <v>2.7284841053187847E-12</v>
      </c>
      <c r="H40" s="2">
        <f>ABS(1-D40)</f>
        <v>9.0949470177292824E-13</v>
      </c>
    </row>
    <row r="41" spans="1:8">
      <c r="A41" s="3">
        <v>40</v>
      </c>
      <c r="B41" s="2">
        <f t="shared" si="18"/>
        <v>0.99999999999818101</v>
      </c>
      <c r="C41" s="2">
        <f t="shared" si="19"/>
        <v>1.0000000000009095</v>
      </c>
      <c r="D41" s="2">
        <f t="shared" si="20"/>
        <v>0.99999999999954525</v>
      </c>
      <c r="E41" s="5">
        <f t="shared" si="21"/>
        <v>-3.637978807091713E-12</v>
      </c>
      <c r="F41" s="5">
        <f t="shared" si="22"/>
        <v>1.8189894035458565E-12</v>
      </c>
      <c r="G41" s="5">
        <f t="shared" si="23"/>
        <v>-1.3642420526593924E-12</v>
      </c>
      <c r="H41" s="2">
        <f>ABS(1-D41)</f>
        <v>4.5474735088646412E-13</v>
      </c>
    </row>
    <row r="42" spans="1:8">
      <c r="A42" s="3">
        <v>41</v>
      </c>
      <c r="B42" s="2">
        <f t="shared" si="18"/>
        <v>0.99999999999954525</v>
      </c>
      <c r="C42" s="2">
        <f t="shared" si="19"/>
        <v>1.0000000000009095</v>
      </c>
      <c r="D42" s="2">
        <f t="shared" si="20"/>
        <v>1.0000000000002274</v>
      </c>
      <c r="E42" s="5">
        <f t="shared" si="21"/>
        <v>-9.0949470177292824E-13</v>
      </c>
      <c r="F42" s="5">
        <f t="shared" si="22"/>
        <v>1.8189894035458565E-12</v>
      </c>
      <c r="G42" s="5">
        <f t="shared" si="23"/>
        <v>6.8212102632969618E-13</v>
      </c>
      <c r="H42" s="2">
        <f>ABS(1-D42)</f>
        <v>2.2737367544323206E-13</v>
      </c>
    </row>
    <row r="43" spans="1:8">
      <c r="A43" s="3">
        <v>42</v>
      </c>
      <c r="B43" s="2">
        <f t="shared" si="18"/>
        <v>0.99999999999954525</v>
      </c>
      <c r="C43" s="2">
        <f t="shared" si="19"/>
        <v>1.0000000000002274</v>
      </c>
      <c r="D43" s="2">
        <f t="shared" si="20"/>
        <v>0.99999999999988631</v>
      </c>
      <c r="E43" s="5">
        <f t="shared" si="21"/>
        <v>-9.0949470177292824E-13</v>
      </c>
      <c r="F43" s="5">
        <f t="shared" si="22"/>
        <v>4.5474735088646412E-13</v>
      </c>
      <c r="G43" s="5">
        <f t="shared" si="23"/>
        <v>-3.4106051316484809E-13</v>
      </c>
      <c r="H43" s="2">
        <f>ABS(1-D43)</f>
        <v>1.1368683772161603E-13</v>
      </c>
    </row>
    <row r="44" spans="1:8">
      <c r="A44" s="3">
        <v>43</v>
      </c>
      <c r="B44" s="2">
        <f t="shared" si="18"/>
        <v>0.99999999999988631</v>
      </c>
      <c r="C44" s="2">
        <f t="shared" si="19"/>
        <v>1.0000000000002274</v>
      </c>
      <c r="D44" s="2">
        <f t="shared" si="20"/>
        <v>1.0000000000000568</v>
      </c>
      <c r="E44" s="5">
        <f t="shared" si="21"/>
        <v>-2.2737367544323206E-13</v>
      </c>
      <c r="F44" s="5">
        <f t="shared" si="22"/>
        <v>4.5474735088646412E-13</v>
      </c>
      <c r="G44" s="5">
        <f t="shared" si="23"/>
        <v>1.7053025658242404E-13</v>
      </c>
      <c r="H44" s="2">
        <f>ABS(1-D44)</f>
        <v>5.6843418860808015E-14</v>
      </c>
    </row>
    <row r="45" spans="1:8">
      <c r="A45" s="3">
        <v>44</v>
      </c>
      <c r="B45" s="2">
        <f t="shared" si="18"/>
        <v>0.99999999999988631</v>
      </c>
      <c r="C45" s="2">
        <f t="shared" si="19"/>
        <v>1.0000000000000568</v>
      </c>
      <c r="D45" s="2">
        <f t="shared" si="20"/>
        <v>0.99999999999997158</v>
      </c>
      <c r="E45" s="5">
        <f t="shared" si="21"/>
        <v>-2.2737367544323206E-13</v>
      </c>
      <c r="F45" s="5">
        <f t="shared" si="22"/>
        <v>1.1368683772161603E-13</v>
      </c>
      <c r="G45" s="5">
        <f t="shared" si="23"/>
        <v>-8.5265128291212022E-14</v>
      </c>
      <c r="H45" s="2">
        <f>ABS(1-D45)</f>
        <v>2.8421709430404007E-14</v>
      </c>
    </row>
    <row r="46" spans="1:8">
      <c r="A46" s="3">
        <v>45</v>
      </c>
      <c r="B46" s="2">
        <f t="shared" si="18"/>
        <v>0.99999999999997158</v>
      </c>
      <c r="C46" s="2">
        <f t="shared" si="19"/>
        <v>1.0000000000000568</v>
      </c>
      <c r="D46" s="2">
        <f t="shared" si="20"/>
        <v>1.0000000000000142</v>
      </c>
      <c r="E46" s="5">
        <f t="shared" si="21"/>
        <v>-5.6843418860808015E-14</v>
      </c>
      <c r="F46" s="5">
        <f t="shared" si="22"/>
        <v>1.1368683772161603E-13</v>
      </c>
      <c r="G46" s="5">
        <f t="shared" si="23"/>
        <v>4.2632564145606011E-14</v>
      </c>
      <c r="H46" s="2">
        <f>ABS(1-D46)</f>
        <v>1.4210854715202004E-14</v>
      </c>
    </row>
    <row r="47" spans="1:8">
      <c r="A47" s="3">
        <v>46</v>
      </c>
      <c r="B47" s="2">
        <f t="shared" si="18"/>
        <v>0.99999999999997158</v>
      </c>
      <c r="C47" s="2">
        <f t="shared" si="19"/>
        <v>1.0000000000000142</v>
      </c>
      <c r="D47" s="2">
        <f t="shared" si="20"/>
        <v>0.99999999999999289</v>
      </c>
      <c r="E47" s="5">
        <f t="shared" si="21"/>
        <v>-5.6843418860808015E-14</v>
      </c>
      <c r="F47" s="5">
        <f t="shared" si="22"/>
        <v>2.8421709430404007E-14</v>
      </c>
      <c r="G47" s="5">
        <f t="shared" si="23"/>
        <v>-2.1316282072803006E-14</v>
      </c>
      <c r="H47" s="2">
        <f>ABS(1-D47)</f>
        <v>7.1054273576010019E-15</v>
      </c>
    </row>
    <row r="48" spans="1:8">
      <c r="A48" s="3">
        <v>47</v>
      </c>
      <c r="B48" s="2">
        <f t="shared" si="18"/>
        <v>0.99999999999999289</v>
      </c>
      <c r="C48" s="2">
        <f t="shared" si="19"/>
        <v>1.0000000000000142</v>
      </c>
      <c r="D48" s="2">
        <f t="shared" si="20"/>
        <v>1.0000000000000036</v>
      </c>
      <c r="E48" s="5">
        <f t="shared" si="21"/>
        <v>-1.4210854715202004E-14</v>
      </c>
      <c r="F48" s="5">
        <f t="shared" si="22"/>
        <v>2.8421709430404007E-14</v>
      </c>
      <c r="G48" s="5">
        <f t="shared" si="23"/>
        <v>1.0658141036401503E-14</v>
      </c>
      <c r="H48" s="2">
        <f>ABS(1-D48)</f>
        <v>3.5527136788005009E-15</v>
      </c>
    </row>
    <row r="49" spans="1:8">
      <c r="A49" s="3">
        <v>48</v>
      </c>
      <c r="B49" s="2">
        <f t="shared" si="18"/>
        <v>0.99999999999999289</v>
      </c>
      <c r="C49" s="2">
        <f t="shared" si="19"/>
        <v>1.0000000000000036</v>
      </c>
      <c r="D49" s="2">
        <f t="shared" si="20"/>
        <v>0.99999999999999822</v>
      </c>
      <c r="E49" s="5">
        <f t="shared" si="21"/>
        <v>-1.4210854715202004E-14</v>
      </c>
      <c r="F49" s="5">
        <f t="shared" si="22"/>
        <v>7.1054273576010019E-15</v>
      </c>
      <c r="G49" s="5">
        <f t="shared" si="23"/>
        <v>-5.3290705182007514E-15</v>
      </c>
      <c r="H49" s="2">
        <f>ABS(1-D49)</f>
        <v>1.7763568394002505E-15</v>
      </c>
    </row>
    <row r="50" spans="1:8">
      <c r="A50" s="3">
        <v>49</v>
      </c>
      <c r="B50" s="2">
        <f t="shared" si="18"/>
        <v>0.99999999999999822</v>
      </c>
      <c r="C50" s="2">
        <f t="shared" si="19"/>
        <v>1.0000000000000036</v>
      </c>
      <c r="D50" s="2">
        <f t="shared" si="20"/>
        <v>1.0000000000000009</v>
      </c>
      <c r="E50" s="5">
        <f t="shared" si="21"/>
        <v>-3.5527136788005009E-15</v>
      </c>
      <c r="F50" s="5">
        <f t="shared" si="22"/>
        <v>7.1054273576010019E-15</v>
      </c>
      <c r="G50" s="5">
        <f t="shared" si="23"/>
        <v>2.6645352591003757E-15</v>
      </c>
      <c r="H50" s="2">
        <f>ABS(1-D50)</f>
        <v>8.8817841970012523E-16</v>
      </c>
    </row>
    <row r="51" spans="1:8">
      <c r="A51" s="3">
        <v>50</v>
      </c>
      <c r="B51" s="2">
        <f t="shared" si="18"/>
        <v>0.99999999999999822</v>
      </c>
      <c r="C51" s="2">
        <f t="shared" si="19"/>
        <v>1.0000000000000009</v>
      </c>
      <c r="D51" s="2">
        <f t="shared" si="20"/>
        <v>0.99999999999999956</v>
      </c>
      <c r="E51" s="5">
        <f t="shared" si="21"/>
        <v>-3.5527136788005009E-15</v>
      </c>
      <c r="F51" s="5">
        <f t="shared" si="22"/>
        <v>1.7763568394002505E-15</v>
      </c>
      <c r="G51" s="5">
        <f t="shared" si="23"/>
        <v>-1.3322676295501878E-15</v>
      </c>
      <c r="H51" s="2">
        <f>ABS(1-D51)</f>
        <v>4.4408920985006262E-16</v>
      </c>
    </row>
    <row r="52" spans="1:8">
      <c r="A52" s="4">
        <v>51</v>
      </c>
      <c r="B52" s="4">
        <f t="shared" si="18"/>
        <v>0.99999999999999956</v>
      </c>
      <c r="C52" s="4">
        <f t="shared" si="19"/>
        <v>1.0000000000000009</v>
      </c>
      <c r="D52" s="4">
        <f t="shared" si="20"/>
        <v>1.0000000000000002</v>
      </c>
      <c r="E52" s="4">
        <f t="shared" si="21"/>
        <v>-8.8817841970012523E-16</v>
      </c>
      <c r="F52" s="4">
        <f t="shared" si="22"/>
        <v>1.7763568394002505E-15</v>
      </c>
      <c r="G52" s="4">
        <f t="shared" si="23"/>
        <v>0</v>
      </c>
      <c r="H52" s="4">
        <f>ABS(1-D52)</f>
        <v>2.2204460492503131E-16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19406-7638-49BC-95B3-93348179DCBE}">
  <dimension ref="A1:O90"/>
  <sheetViews>
    <sheetView topLeftCell="O1" zoomScaleNormal="100" workbookViewId="0">
      <selection activeCell="O1" sqref="O1"/>
    </sheetView>
  </sheetViews>
  <sheetFormatPr defaultRowHeight="15"/>
  <cols>
    <col min="1" max="1" width="15.28515625" customWidth="1"/>
    <col min="2" max="2" width="19.7109375" customWidth="1"/>
    <col min="3" max="7" width="15.28515625" customWidth="1"/>
    <col min="15" max="15" width="23.85546875" customWidth="1"/>
  </cols>
  <sheetData>
    <row r="1" spans="1:15">
      <c r="B1" t="s">
        <v>7</v>
      </c>
      <c r="C1" t="s">
        <v>8</v>
      </c>
      <c r="D1" t="s">
        <v>3</v>
      </c>
      <c r="E1" t="s">
        <v>4</v>
      </c>
      <c r="F1" t="s">
        <v>9</v>
      </c>
      <c r="G1" t="s">
        <v>10</v>
      </c>
      <c r="I1" t="s">
        <v>11</v>
      </c>
      <c r="L1" t="s">
        <v>12</v>
      </c>
      <c r="O1" t="s">
        <v>13</v>
      </c>
    </row>
    <row r="2" spans="1:15">
      <c r="A2">
        <v>1</v>
      </c>
      <c r="B2">
        <v>0.5</v>
      </c>
      <c r="C2">
        <v>2</v>
      </c>
      <c r="D2">
        <f>B2^3-B2</f>
        <v>-0.375</v>
      </c>
      <c r="E2">
        <f>C2^3-C2</f>
        <v>6</v>
      </c>
      <c r="F2">
        <f>(-D2*(C2-B2))/(E2-D2)+B2</f>
        <v>0.58823529411764708</v>
      </c>
      <c r="G2">
        <f>F2^3-F2</f>
        <v>-0.38469366985548548</v>
      </c>
      <c r="I2" t="s">
        <v>14</v>
      </c>
      <c r="J2" t="s">
        <v>15</v>
      </c>
      <c r="L2" t="s">
        <v>14</v>
      </c>
      <c r="O2">
        <f>1-B2</f>
        <v>0.5</v>
      </c>
    </row>
    <row r="3" spans="1:15">
      <c r="A3">
        <v>2</v>
      </c>
      <c r="B3">
        <f>F2</f>
        <v>0.58823529411764708</v>
      </c>
      <c r="C3">
        <v>2</v>
      </c>
      <c r="D3">
        <f t="shared" ref="D3:D8" si="0">B3^3-B3</f>
        <v>-0.38469366985548548</v>
      </c>
      <c r="E3">
        <f t="shared" ref="E3:E49" si="1">C3^3-C3</f>
        <v>6</v>
      </c>
      <c r="F3">
        <f t="shared" ref="F3:F8" si="2">(-D3*(C3-B3))/(E3-D3)+B3</f>
        <v>0.67329762815608263</v>
      </c>
      <c r="G3">
        <f t="shared" ref="G3:G66" si="3">F3^3-F3</f>
        <v>-0.36807181901229247</v>
      </c>
      <c r="I3">
        <v>0.5</v>
      </c>
      <c r="J3">
        <v>0</v>
      </c>
      <c r="L3">
        <v>0</v>
      </c>
      <c r="M3">
        <f>L3^3-L3</f>
        <v>0</v>
      </c>
      <c r="O3">
        <f t="shared" ref="O3:O66" si="4">1-B3</f>
        <v>0.41176470588235292</v>
      </c>
    </row>
    <row r="4" spans="1:15">
      <c r="A4">
        <v>3</v>
      </c>
      <c r="B4">
        <f t="shared" ref="B4:B8" si="5">F3</f>
        <v>0.67329762815608263</v>
      </c>
      <c r="C4">
        <v>2</v>
      </c>
      <c r="D4">
        <f t="shared" si="0"/>
        <v>-0.36807181901229247</v>
      </c>
      <c r="E4">
        <f t="shared" si="1"/>
        <v>6</v>
      </c>
      <c r="F4">
        <f t="shared" si="2"/>
        <v>0.74998045604671626</v>
      </c>
      <c r="G4">
        <f t="shared" si="3"/>
        <v>-0.32813843560846628</v>
      </c>
      <c r="I4">
        <v>2</v>
      </c>
      <c r="J4">
        <v>6</v>
      </c>
      <c r="L4">
        <v>0.1</v>
      </c>
      <c r="M4">
        <f t="shared" ref="M4:M23" si="6">L4^3-L4</f>
        <v>-9.9000000000000005E-2</v>
      </c>
      <c r="O4">
        <f t="shared" si="4"/>
        <v>0.32670237184391737</v>
      </c>
    </row>
    <row r="5" spans="1:15">
      <c r="A5">
        <v>4</v>
      </c>
      <c r="B5">
        <f t="shared" si="5"/>
        <v>0.74998045604671626</v>
      </c>
      <c r="C5">
        <v>2</v>
      </c>
      <c r="D5">
        <f t="shared" si="0"/>
        <v>-0.32813843560846628</v>
      </c>
      <c r="E5">
        <f t="shared" si="1"/>
        <v>6</v>
      </c>
      <c r="F5">
        <f t="shared" si="2"/>
        <v>0.81479880062096843</v>
      </c>
      <c r="G5">
        <f t="shared" si="3"/>
        <v>-0.2738562516252151</v>
      </c>
      <c r="I5">
        <v>0.5</v>
      </c>
      <c r="J5">
        <f>D2</f>
        <v>-0.375</v>
      </c>
      <c r="L5">
        <v>0.2</v>
      </c>
      <c r="M5">
        <f t="shared" si="6"/>
        <v>-0.192</v>
      </c>
      <c r="O5">
        <f t="shared" si="4"/>
        <v>0.25001954395328374</v>
      </c>
    </row>
    <row r="6" spans="1:15">
      <c r="A6">
        <v>5</v>
      </c>
      <c r="B6">
        <f t="shared" si="5"/>
        <v>0.81479880062096843</v>
      </c>
      <c r="C6">
        <v>2</v>
      </c>
      <c r="D6">
        <f t="shared" si="0"/>
        <v>-0.2738562516252151</v>
      </c>
      <c r="E6">
        <f t="shared" si="1"/>
        <v>6</v>
      </c>
      <c r="F6">
        <f t="shared" si="2"/>
        <v>0.86653329131790957</v>
      </c>
      <c r="G6">
        <f t="shared" si="3"/>
        <v>-0.2158708212251611</v>
      </c>
      <c r="I6">
        <v>2</v>
      </c>
      <c r="J6">
        <v>6</v>
      </c>
      <c r="L6">
        <v>0.3</v>
      </c>
      <c r="M6">
        <f t="shared" si="6"/>
        <v>-0.27299999999999996</v>
      </c>
      <c r="O6">
        <f t="shared" si="4"/>
        <v>0.18520119937903157</v>
      </c>
    </row>
    <row r="7" spans="1:15">
      <c r="A7">
        <v>6</v>
      </c>
      <c r="B7">
        <f t="shared" si="5"/>
        <v>0.86653329131790957</v>
      </c>
      <c r="C7">
        <v>2</v>
      </c>
      <c r="D7">
        <f t="shared" si="0"/>
        <v>-0.2158708212251611</v>
      </c>
      <c r="E7">
        <f t="shared" si="1"/>
        <v>6</v>
      </c>
      <c r="F7">
        <f t="shared" si="2"/>
        <v>0.90589742810129847</v>
      </c>
      <c r="G7">
        <f t="shared" si="3"/>
        <v>-0.16247256762744255</v>
      </c>
      <c r="I7">
        <f>F2</f>
        <v>0.58823529411764708</v>
      </c>
      <c r="J7">
        <f>D3</f>
        <v>-0.38469366985548548</v>
      </c>
      <c r="L7">
        <v>0.4</v>
      </c>
      <c r="M7">
        <f t="shared" si="6"/>
        <v>-0.33600000000000002</v>
      </c>
      <c r="O7">
        <f t="shared" si="4"/>
        <v>0.13346670868209043</v>
      </c>
    </row>
    <row r="8" spans="1:15">
      <c r="A8">
        <v>7</v>
      </c>
      <c r="B8">
        <f t="shared" si="5"/>
        <v>0.90589742810129847</v>
      </c>
      <c r="C8">
        <v>2</v>
      </c>
      <c r="D8">
        <f t="shared" si="0"/>
        <v>-0.16247256762744255</v>
      </c>
      <c r="E8">
        <f t="shared" si="1"/>
        <v>6</v>
      </c>
      <c r="F8">
        <f t="shared" si="2"/>
        <v>0.93474326102848815</v>
      </c>
      <c r="G8">
        <f t="shared" si="3"/>
        <v>-0.11801604403622779</v>
      </c>
      <c r="I8">
        <v>2</v>
      </c>
      <c r="J8">
        <v>6</v>
      </c>
      <c r="L8">
        <v>0.5</v>
      </c>
      <c r="M8">
        <f t="shared" si="6"/>
        <v>-0.375</v>
      </c>
      <c r="O8">
        <f t="shared" si="4"/>
        <v>9.4102571898701526E-2</v>
      </c>
    </row>
    <row r="9" spans="1:15">
      <c r="A9">
        <v>8</v>
      </c>
      <c r="B9">
        <f>F8</f>
        <v>0.93474326102848815</v>
      </c>
      <c r="C9">
        <v>2</v>
      </c>
      <c r="D9">
        <f>B9^3-B9</f>
        <v>-0.11801604403622779</v>
      </c>
      <c r="E9">
        <f t="shared" si="1"/>
        <v>6</v>
      </c>
      <c r="F9">
        <f>(-D9*(C9-B9))/(E9-D9)+B9</f>
        <v>0.95529197899710128</v>
      </c>
      <c r="G9">
        <f t="shared" si="3"/>
        <v>-8.3508983291495587E-2</v>
      </c>
      <c r="I9">
        <f>F3</f>
        <v>0.67329762815608263</v>
      </c>
      <c r="J9">
        <f>D4</f>
        <v>-0.36807181901229247</v>
      </c>
      <c r="L9">
        <v>0.6</v>
      </c>
      <c r="M9">
        <f t="shared" si="6"/>
        <v>-0.38400000000000001</v>
      </c>
      <c r="O9">
        <f t="shared" si="4"/>
        <v>6.5256738971511852E-2</v>
      </c>
    </row>
    <row r="10" spans="1:15">
      <c r="A10">
        <v>9</v>
      </c>
      <c r="B10">
        <f t="shared" ref="B10:B49" si="7">F9</f>
        <v>0.95529197899710128</v>
      </c>
      <c r="C10">
        <v>2</v>
      </c>
      <c r="D10">
        <f t="shared" ref="D10:D49" si="8">B10^3-B10</f>
        <v>-8.3508983291495587E-2</v>
      </c>
      <c r="E10">
        <f t="shared" si="1"/>
        <v>6</v>
      </c>
      <c r="F10">
        <f t="shared" ref="F10:F49" si="9">(-D10*(C10-B10))/(E10-D10)+B10</f>
        <v>0.96963279856522155</v>
      </c>
      <c r="G10">
        <f t="shared" si="3"/>
        <v>-5.7995905729322339E-2</v>
      </c>
      <c r="I10">
        <v>2</v>
      </c>
      <c r="J10">
        <v>6</v>
      </c>
      <c r="L10">
        <v>0.7</v>
      </c>
      <c r="M10">
        <f t="shared" si="6"/>
        <v>-0.35700000000000004</v>
      </c>
      <c r="O10">
        <f t="shared" si="4"/>
        <v>4.4708021002898723E-2</v>
      </c>
    </row>
    <row r="11" spans="1:15">
      <c r="A11">
        <v>10</v>
      </c>
      <c r="B11">
        <f t="shared" si="7"/>
        <v>0.96963279856522155</v>
      </c>
      <c r="C11">
        <v>2</v>
      </c>
      <c r="D11">
        <f t="shared" si="8"/>
        <v>-5.7995905729322339E-2</v>
      </c>
      <c r="E11">
        <f t="shared" si="1"/>
        <v>6</v>
      </c>
      <c r="F11">
        <f t="shared" si="9"/>
        <v>0.97949696486888016</v>
      </c>
      <c r="G11">
        <f t="shared" si="3"/>
        <v>-3.9753565865583984E-2</v>
      </c>
      <c r="I11">
        <f>F4</f>
        <v>0.74998045604671626</v>
      </c>
      <c r="J11">
        <f>D5</f>
        <v>-0.32813843560846628</v>
      </c>
      <c r="L11">
        <v>0.8</v>
      </c>
      <c r="M11">
        <f t="shared" si="6"/>
        <v>-0.28799999999999992</v>
      </c>
      <c r="O11">
        <f t="shared" si="4"/>
        <v>3.0367201434778446E-2</v>
      </c>
    </row>
    <row r="12" spans="1:15">
      <c r="A12">
        <v>11</v>
      </c>
      <c r="B12">
        <f t="shared" si="7"/>
        <v>0.97949696486888016</v>
      </c>
      <c r="C12">
        <v>2</v>
      </c>
      <c r="D12">
        <f t="shared" si="8"/>
        <v>-3.9753565865583984E-2</v>
      </c>
      <c r="E12">
        <f t="shared" si="1"/>
        <v>6</v>
      </c>
      <c r="F12">
        <f t="shared" si="9"/>
        <v>0.98621390028366129</v>
      </c>
      <c r="G12">
        <f t="shared" si="3"/>
        <v>-2.7004649934997405E-2</v>
      </c>
      <c r="I12">
        <v>2</v>
      </c>
      <c r="J12">
        <v>6</v>
      </c>
      <c r="L12">
        <v>0.9</v>
      </c>
      <c r="M12">
        <f t="shared" si="6"/>
        <v>-0.17099999999999993</v>
      </c>
      <c r="O12">
        <f t="shared" si="4"/>
        <v>2.050303513111984E-2</v>
      </c>
    </row>
    <row r="13" spans="1:15">
      <c r="A13">
        <v>12</v>
      </c>
      <c r="B13">
        <f t="shared" si="7"/>
        <v>0.98621390028366129</v>
      </c>
      <c r="C13">
        <v>2</v>
      </c>
      <c r="D13">
        <f t="shared" si="8"/>
        <v>-2.7004649934997405E-2</v>
      </c>
      <c r="E13">
        <f t="shared" si="1"/>
        <v>6</v>
      </c>
      <c r="F13">
        <f t="shared" si="9"/>
        <v>0.99075627918029963</v>
      </c>
      <c r="G13">
        <f t="shared" si="3"/>
        <v>-1.8231892358054891E-2</v>
      </c>
      <c r="I13">
        <f>F5</f>
        <v>0.81479880062096843</v>
      </c>
      <c r="J13">
        <f>D6</f>
        <v>-0.2738562516252151</v>
      </c>
      <c r="L13">
        <v>1</v>
      </c>
      <c r="M13">
        <f t="shared" si="6"/>
        <v>0</v>
      </c>
      <c r="O13">
        <f t="shared" si="4"/>
        <v>1.3786099716338707E-2</v>
      </c>
    </row>
    <row r="14" spans="1:15">
      <c r="A14">
        <v>13</v>
      </c>
      <c r="B14">
        <f t="shared" si="7"/>
        <v>0.99075627918029963</v>
      </c>
      <c r="C14">
        <v>2</v>
      </c>
      <c r="D14">
        <f t="shared" si="8"/>
        <v>-1.8231892358054891E-2</v>
      </c>
      <c r="E14">
        <f t="shared" si="1"/>
        <v>6</v>
      </c>
      <c r="F14">
        <f t="shared" si="9"/>
        <v>0.99381372582079752</v>
      </c>
      <c r="G14">
        <f t="shared" si="3"/>
        <v>-1.2257975142384026E-2</v>
      </c>
      <c r="I14">
        <v>2</v>
      </c>
      <c r="J14">
        <v>6</v>
      </c>
      <c r="L14">
        <v>1.1000000000000001</v>
      </c>
      <c r="M14">
        <f t="shared" si="6"/>
        <v>0.23100000000000032</v>
      </c>
      <c r="O14">
        <f t="shared" si="4"/>
        <v>9.243720819700374E-3</v>
      </c>
    </row>
    <row r="15" spans="1:15">
      <c r="A15">
        <v>14</v>
      </c>
      <c r="B15">
        <f t="shared" si="7"/>
        <v>0.99381372582079752</v>
      </c>
      <c r="C15">
        <v>2</v>
      </c>
      <c r="D15">
        <f t="shared" si="8"/>
        <v>-1.2257975142384026E-2</v>
      </c>
      <c r="E15">
        <f t="shared" si="1"/>
        <v>6</v>
      </c>
      <c r="F15">
        <f t="shared" si="9"/>
        <v>0.99586516912021861</v>
      </c>
      <c r="G15">
        <f t="shared" si="3"/>
        <v>-8.2184419728353886E-3</v>
      </c>
      <c r="I15">
        <f>F6</f>
        <v>0.86653329131790957</v>
      </c>
      <c r="J15">
        <f>D7</f>
        <v>-0.2158708212251611</v>
      </c>
      <c r="L15">
        <v>1.2</v>
      </c>
      <c r="M15">
        <f t="shared" si="6"/>
        <v>0.52800000000000002</v>
      </c>
      <c r="O15">
        <f t="shared" si="4"/>
        <v>6.1862741792024778E-3</v>
      </c>
    </row>
    <row r="16" spans="1:15">
      <c r="A16">
        <v>15</v>
      </c>
      <c r="B16">
        <f t="shared" si="7"/>
        <v>0.99586516912021861</v>
      </c>
      <c r="C16">
        <v>2</v>
      </c>
      <c r="D16">
        <f t="shared" si="8"/>
        <v>-8.2184419728353886E-3</v>
      </c>
      <c r="E16">
        <f t="shared" si="1"/>
        <v>6</v>
      </c>
      <c r="F16">
        <f t="shared" si="9"/>
        <v>0.99723869172433</v>
      </c>
      <c r="G16">
        <f t="shared" si="3"/>
        <v>-5.4997631356480392E-3</v>
      </c>
      <c r="I16">
        <v>2</v>
      </c>
      <c r="J16">
        <v>6</v>
      </c>
      <c r="L16">
        <v>1.3</v>
      </c>
      <c r="M16">
        <f t="shared" si="6"/>
        <v>0.89700000000000046</v>
      </c>
      <c r="O16">
        <f t="shared" si="4"/>
        <v>4.1348308797813926E-3</v>
      </c>
    </row>
    <row r="17" spans="1:15">
      <c r="A17">
        <v>16</v>
      </c>
      <c r="B17">
        <f t="shared" si="7"/>
        <v>0.99723869172433</v>
      </c>
      <c r="C17">
        <v>2</v>
      </c>
      <c r="D17">
        <f t="shared" si="8"/>
        <v>-5.4997631356480392E-3</v>
      </c>
      <c r="E17">
        <f t="shared" si="1"/>
        <v>6</v>
      </c>
      <c r="F17">
        <f t="shared" si="9"/>
        <v>0.99815700824995235</v>
      </c>
      <c r="G17">
        <f t="shared" si="3"/>
        <v>-3.675799904263144E-3</v>
      </c>
      <c r="I17">
        <f>F7</f>
        <v>0.90589742810129847</v>
      </c>
      <c r="J17">
        <f>D8</f>
        <v>-0.16247256762744255</v>
      </c>
      <c r="L17">
        <v>1.4</v>
      </c>
      <c r="M17">
        <f t="shared" si="6"/>
        <v>1.3439999999999994</v>
      </c>
      <c r="O17">
        <f t="shared" si="4"/>
        <v>2.7613082756700047E-3</v>
      </c>
    </row>
    <row r="18" spans="1:15">
      <c r="A18">
        <v>17</v>
      </c>
      <c r="B18">
        <f t="shared" si="7"/>
        <v>0.99815700824995235</v>
      </c>
      <c r="C18">
        <v>2</v>
      </c>
      <c r="D18">
        <f t="shared" si="8"/>
        <v>-3.675799904263144E-3</v>
      </c>
      <c r="E18">
        <f t="shared" si="1"/>
        <v>6</v>
      </c>
      <c r="F18">
        <f t="shared" si="9"/>
        <v>0.99877039486440278</v>
      </c>
      <c r="G18">
        <f t="shared" si="3"/>
        <v>-2.4546763439013963E-3</v>
      </c>
      <c r="I18">
        <v>2</v>
      </c>
      <c r="J18">
        <v>6</v>
      </c>
      <c r="L18">
        <v>1.5</v>
      </c>
      <c r="M18">
        <f t="shared" si="6"/>
        <v>1.875</v>
      </c>
      <c r="O18">
        <f t="shared" si="4"/>
        <v>1.8429917500476511E-3</v>
      </c>
    </row>
    <row r="19" spans="1:15">
      <c r="A19">
        <v>18</v>
      </c>
      <c r="B19">
        <f t="shared" si="7"/>
        <v>0.99877039486440278</v>
      </c>
      <c r="C19">
        <v>2</v>
      </c>
      <c r="D19">
        <f t="shared" si="8"/>
        <v>-2.4546763439013963E-3</v>
      </c>
      <c r="E19">
        <f t="shared" si="1"/>
        <v>6</v>
      </c>
      <c r="F19">
        <f t="shared" si="9"/>
        <v>0.99917984312499952</v>
      </c>
      <c r="G19">
        <f t="shared" si="3"/>
        <v>-1.638296329786626E-3</v>
      </c>
      <c r="I19">
        <f>F8</f>
        <v>0.93474326102848815</v>
      </c>
      <c r="J19">
        <f>D9</f>
        <v>-0.11801604403622779</v>
      </c>
      <c r="L19">
        <v>1.6</v>
      </c>
      <c r="M19">
        <f t="shared" si="6"/>
        <v>2.4960000000000009</v>
      </c>
      <c r="O19">
        <f t="shared" si="4"/>
        <v>1.2296051355972226E-3</v>
      </c>
    </row>
    <row r="20" spans="1:15">
      <c r="A20">
        <v>19</v>
      </c>
      <c r="B20">
        <f t="shared" si="7"/>
        <v>0.99917984312499952</v>
      </c>
      <c r="C20">
        <v>2</v>
      </c>
      <c r="D20">
        <f t="shared" si="8"/>
        <v>-1.638296329786626E-3</v>
      </c>
      <c r="E20">
        <f t="shared" si="1"/>
        <v>6</v>
      </c>
      <c r="F20">
        <f t="shared" si="9"/>
        <v>0.99945304185988293</v>
      </c>
      <c r="G20">
        <f t="shared" si="3"/>
        <v>-1.0930189542428526E-3</v>
      </c>
      <c r="I20">
        <v>2</v>
      </c>
      <c r="J20">
        <v>6</v>
      </c>
      <c r="L20">
        <v>1.7</v>
      </c>
      <c r="M20">
        <f t="shared" si="6"/>
        <v>3.2129999999999992</v>
      </c>
      <c r="O20">
        <f t="shared" si="4"/>
        <v>8.2015687500047729E-4</v>
      </c>
    </row>
    <row r="21" spans="1:15">
      <c r="A21">
        <v>20</v>
      </c>
      <c r="B21">
        <f t="shared" si="7"/>
        <v>0.99945304185988293</v>
      </c>
      <c r="C21">
        <v>2</v>
      </c>
      <c r="D21">
        <f t="shared" si="8"/>
        <v>-1.0930189542428526E-3</v>
      </c>
      <c r="E21">
        <f t="shared" si="1"/>
        <v>6</v>
      </c>
      <c r="F21">
        <f t="shared" si="9"/>
        <v>0.99963527812691011</v>
      </c>
      <c r="G21">
        <f t="shared" si="3"/>
        <v>-7.2904472856172298E-4</v>
      </c>
      <c r="L21">
        <v>1.8</v>
      </c>
      <c r="M21">
        <f t="shared" si="6"/>
        <v>4.0320000000000009</v>
      </c>
      <c r="O21">
        <f t="shared" si="4"/>
        <v>5.4695814011707089E-4</v>
      </c>
    </row>
    <row r="22" spans="1:15">
      <c r="A22">
        <v>21</v>
      </c>
      <c r="B22">
        <f t="shared" si="7"/>
        <v>0.99963527812691011</v>
      </c>
      <c r="C22">
        <v>2</v>
      </c>
      <c r="D22">
        <f t="shared" si="8"/>
        <v>-7.2904472856172298E-4</v>
      </c>
      <c r="E22">
        <f t="shared" si="1"/>
        <v>6</v>
      </c>
      <c r="F22">
        <f t="shared" si="9"/>
        <v>0.9997568151304449</v>
      </c>
      <c r="G22">
        <f t="shared" si="3"/>
        <v>-4.8619233684954466E-4</v>
      </c>
      <c r="L22">
        <v>1.9</v>
      </c>
      <c r="M22">
        <f t="shared" si="6"/>
        <v>4.9589999999999996</v>
      </c>
      <c r="O22">
        <f t="shared" si="4"/>
        <v>3.6472187308989046E-4</v>
      </c>
    </row>
    <row r="23" spans="1:15">
      <c r="A23">
        <v>22</v>
      </c>
      <c r="B23">
        <f t="shared" si="7"/>
        <v>0.9997568151304449</v>
      </c>
      <c r="C23">
        <v>2</v>
      </c>
      <c r="D23">
        <f t="shared" si="8"/>
        <v>-4.8619233684954466E-4</v>
      </c>
      <c r="E23">
        <f t="shared" si="1"/>
        <v>6</v>
      </c>
      <c r="F23">
        <f t="shared" si="9"/>
        <v>0.99983786032509769</v>
      </c>
      <c r="G23">
        <f t="shared" si="3"/>
        <v>-3.2420048624459685E-4</v>
      </c>
      <c r="L23">
        <v>2</v>
      </c>
      <c r="M23">
        <f t="shared" si="6"/>
        <v>6</v>
      </c>
      <c r="O23">
        <f t="shared" si="4"/>
        <v>2.4318486955510199E-4</v>
      </c>
    </row>
    <row r="24" spans="1:15">
      <c r="A24">
        <v>23</v>
      </c>
      <c r="B24">
        <f t="shared" si="7"/>
        <v>0.99983786032509769</v>
      </c>
      <c r="C24">
        <v>2</v>
      </c>
      <c r="D24">
        <f t="shared" si="8"/>
        <v>-3.2420048624459685E-4</v>
      </c>
      <c r="E24">
        <f t="shared" si="1"/>
        <v>6</v>
      </c>
      <c r="F24">
        <f t="shared" si="9"/>
        <v>0.9998918995805065</v>
      </c>
      <c r="G24">
        <f t="shared" si="3"/>
        <v>-2.1616578314809232E-4</v>
      </c>
      <c r="O24">
        <f t="shared" si="4"/>
        <v>1.621396749023063E-4</v>
      </c>
    </row>
    <row r="25" spans="1:15">
      <c r="A25">
        <v>24</v>
      </c>
      <c r="B25">
        <f t="shared" si="7"/>
        <v>0.9998918995805065</v>
      </c>
      <c r="C25">
        <v>2</v>
      </c>
      <c r="D25">
        <f t="shared" si="8"/>
        <v>-2.1616578314809232E-4</v>
      </c>
      <c r="E25">
        <f t="shared" si="1"/>
        <v>6</v>
      </c>
      <c r="F25">
        <f t="shared" si="9"/>
        <v>0.99992792980754941</v>
      </c>
      <c r="G25">
        <f t="shared" si="3"/>
        <v>-1.4412480293768404E-4</v>
      </c>
      <c r="O25">
        <f t="shared" si="4"/>
        <v>1.0810041949349536E-4</v>
      </c>
    </row>
    <row r="26" spans="1:15">
      <c r="A26">
        <v>25</v>
      </c>
      <c r="B26">
        <f t="shared" si="7"/>
        <v>0.99992792980754941</v>
      </c>
      <c r="C26">
        <v>2</v>
      </c>
      <c r="D26">
        <f t="shared" si="8"/>
        <v>-1.4412480293768404E-4</v>
      </c>
      <c r="E26">
        <f t="shared" si="1"/>
        <v>6</v>
      </c>
      <c r="F26">
        <f t="shared" si="9"/>
        <v>0.9999519517621962</v>
      </c>
      <c r="G26">
        <f t="shared" si="3"/>
        <v>-9.6089549818989539E-5</v>
      </c>
      <c r="O26">
        <f t="shared" si="4"/>
        <v>7.2070192450590653E-5</v>
      </c>
    </row>
    <row r="27" spans="1:15">
      <c r="A27">
        <v>26</v>
      </c>
      <c r="B27">
        <f t="shared" si="7"/>
        <v>0.9999519517621962</v>
      </c>
      <c r="C27">
        <v>2</v>
      </c>
      <c r="D27">
        <f t="shared" si="8"/>
        <v>-9.6089549818989539E-5</v>
      </c>
      <c r="E27">
        <f t="shared" si="1"/>
        <v>6</v>
      </c>
      <c r="F27">
        <f t="shared" si="9"/>
        <v>0.99996796720016889</v>
      </c>
      <c r="G27">
        <f t="shared" si="3"/>
        <v>-6.406252139423696E-5</v>
      </c>
      <c r="O27">
        <f t="shared" si="4"/>
        <v>4.804823780379941E-5</v>
      </c>
    </row>
    <row r="28" spans="1:15">
      <c r="A28">
        <v>27</v>
      </c>
      <c r="B28">
        <f t="shared" si="7"/>
        <v>0.99996796720016889</v>
      </c>
      <c r="C28">
        <v>2</v>
      </c>
      <c r="D28">
        <f t="shared" si="8"/>
        <v>-6.406252139423696E-5</v>
      </c>
      <c r="E28">
        <f t="shared" si="1"/>
        <v>6</v>
      </c>
      <c r="F28">
        <f t="shared" si="9"/>
        <v>0.99997864451508234</v>
      </c>
      <c r="G28">
        <f t="shared" si="3"/>
        <v>-4.2709601674850717E-5</v>
      </c>
      <c r="O28">
        <f t="shared" si="4"/>
        <v>3.2032799831105407E-5</v>
      </c>
    </row>
    <row r="29" spans="1:15">
      <c r="A29">
        <v>28</v>
      </c>
      <c r="B29">
        <f t="shared" si="7"/>
        <v>0.99997864451508234</v>
      </c>
      <c r="C29">
        <v>2</v>
      </c>
      <c r="D29">
        <f t="shared" si="8"/>
        <v>-4.2709601674850717E-5</v>
      </c>
      <c r="E29">
        <f t="shared" si="1"/>
        <v>6</v>
      </c>
      <c r="F29">
        <f t="shared" si="9"/>
        <v>0.99998576288337171</v>
      </c>
      <c r="G29">
        <f t="shared" si="3"/>
        <v>-2.8473625172997785E-5</v>
      </c>
      <c r="O29">
        <f t="shared" si="4"/>
        <v>2.135548491766226E-5</v>
      </c>
    </row>
    <row r="30" spans="1:15">
      <c r="A30">
        <v>29</v>
      </c>
      <c r="B30">
        <f t="shared" si="7"/>
        <v>0.99998576288337171</v>
      </c>
      <c r="C30">
        <v>2</v>
      </c>
      <c r="D30">
        <f t="shared" si="8"/>
        <v>-2.8473625172997785E-5</v>
      </c>
      <c r="E30">
        <f t="shared" si="1"/>
        <v>6</v>
      </c>
      <c r="F30">
        <f t="shared" si="9"/>
        <v>0.99999050853260996</v>
      </c>
      <c r="G30">
        <f t="shared" si="3"/>
        <v>-1.8982664517053216E-5</v>
      </c>
      <c r="O30">
        <f t="shared" si="4"/>
        <v>1.4237116628290636E-5</v>
      </c>
    </row>
    <row r="31" spans="1:15">
      <c r="A31">
        <v>30</v>
      </c>
      <c r="B31">
        <f t="shared" si="7"/>
        <v>0.99999050853260996</v>
      </c>
      <c r="C31">
        <v>2</v>
      </c>
      <c r="D31">
        <f t="shared" si="8"/>
        <v>-1.8982664517053216E-5</v>
      </c>
      <c r="E31">
        <f t="shared" si="1"/>
        <v>6</v>
      </c>
      <c r="F31">
        <f t="shared" si="9"/>
        <v>0.99999367233004877</v>
      </c>
      <c r="G31">
        <f t="shared" si="3"/>
        <v>-1.2655219784440952E-5</v>
      </c>
      <c r="O31">
        <f t="shared" si="4"/>
        <v>9.4914673900436952E-6</v>
      </c>
    </row>
    <row r="32" spans="1:15">
      <c r="A32">
        <v>31</v>
      </c>
      <c r="B32">
        <f t="shared" si="7"/>
        <v>0.99999367233004877</v>
      </c>
      <c r="C32">
        <v>2</v>
      </c>
      <c r="D32">
        <f t="shared" si="8"/>
        <v>-1.2655219784440952E-5</v>
      </c>
      <c r="E32">
        <f t="shared" si="1"/>
        <v>6</v>
      </c>
      <c r="F32">
        <f t="shared" si="9"/>
        <v>0.99999578154224378</v>
      </c>
      <c r="G32">
        <f t="shared" si="3"/>
        <v>-8.4368621263708476E-6</v>
      </c>
      <c r="O32">
        <f t="shared" si="4"/>
        <v>6.3276699512337942E-6</v>
      </c>
    </row>
    <row r="33" spans="1:15">
      <c r="A33">
        <v>32</v>
      </c>
      <c r="B33">
        <f t="shared" si="7"/>
        <v>0.99999578154224378</v>
      </c>
      <c r="C33">
        <v>2</v>
      </c>
      <c r="D33">
        <f t="shared" si="8"/>
        <v>-8.4368621263708476E-6</v>
      </c>
      <c r="E33">
        <f t="shared" si="1"/>
        <v>6</v>
      </c>
      <c r="F33">
        <f t="shared" si="9"/>
        <v>0.99999718768988599</v>
      </c>
      <c r="G33">
        <f t="shared" si="3"/>
        <v>-5.6245965007750698E-6</v>
      </c>
      <c r="O33">
        <f t="shared" si="4"/>
        <v>4.2184577562220937E-6</v>
      </c>
    </row>
    <row r="34" spans="1:15">
      <c r="A34">
        <v>33</v>
      </c>
      <c r="B34">
        <f t="shared" si="7"/>
        <v>0.99999718768988599</v>
      </c>
      <c r="C34">
        <v>2</v>
      </c>
      <c r="D34">
        <f t="shared" si="8"/>
        <v>-5.6245965007750698E-6</v>
      </c>
      <c r="E34">
        <f t="shared" si="1"/>
        <v>6</v>
      </c>
      <c r="F34">
        <f t="shared" si="9"/>
        <v>0.99999812512439368</v>
      </c>
      <c r="G34">
        <f t="shared" si="3"/>
        <v>-3.7497406671915812E-6</v>
      </c>
      <c r="O34">
        <f t="shared" si="4"/>
        <v>2.8123101140087314E-6</v>
      </c>
    </row>
    <row r="35" spans="1:15">
      <c r="A35">
        <v>34</v>
      </c>
      <c r="B35">
        <f t="shared" si="7"/>
        <v>0.99999812512439368</v>
      </c>
      <c r="C35">
        <v>2</v>
      </c>
      <c r="D35">
        <f t="shared" si="8"/>
        <v>-3.7497406671915812E-6</v>
      </c>
      <c r="E35">
        <f t="shared" si="1"/>
        <v>6</v>
      </c>
      <c r="F35">
        <f t="shared" si="9"/>
        <v>0.99999875008195271</v>
      </c>
      <c r="G35">
        <f t="shared" si="3"/>
        <v>-2.4998314076540851E-6</v>
      </c>
      <c r="O35">
        <f t="shared" si="4"/>
        <v>1.8748756063224903E-6</v>
      </c>
    </row>
    <row r="36" spans="1:15">
      <c r="A36">
        <v>35</v>
      </c>
      <c r="B36">
        <f t="shared" si="7"/>
        <v>0.99999875008195271</v>
      </c>
      <c r="C36">
        <v>2</v>
      </c>
      <c r="D36">
        <f t="shared" si="8"/>
        <v>-2.4998314076540851E-6</v>
      </c>
      <c r="E36">
        <f t="shared" si="1"/>
        <v>6</v>
      </c>
      <c r="F36">
        <f t="shared" si="9"/>
        <v>0.99999916672086786</v>
      </c>
      <c r="G36">
        <f t="shared" si="3"/>
        <v>-1.6665561812789775E-6</v>
      </c>
      <c r="O36">
        <f t="shared" si="4"/>
        <v>1.2499180472858029E-6</v>
      </c>
    </row>
    <row r="37" spans="1:15">
      <c r="A37">
        <v>36</v>
      </c>
      <c r="B37">
        <f t="shared" si="7"/>
        <v>0.99999916672086786</v>
      </c>
      <c r="C37">
        <v>2</v>
      </c>
      <c r="D37">
        <f t="shared" si="8"/>
        <v>-1.6665561812789775E-6</v>
      </c>
      <c r="E37">
        <f t="shared" si="1"/>
        <v>6</v>
      </c>
      <c r="F37">
        <f t="shared" si="9"/>
        <v>0.99999944448038569</v>
      </c>
      <c r="G37">
        <f t="shared" si="3"/>
        <v>-1.1110383028034576E-6</v>
      </c>
      <c r="O37">
        <f t="shared" si="4"/>
        <v>8.3327913213970817E-7</v>
      </c>
    </row>
    <row r="38" spans="1:15">
      <c r="A38">
        <v>37</v>
      </c>
      <c r="B38">
        <f t="shared" si="7"/>
        <v>0.99999944448038569</v>
      </c>
      <c r="C38">
        <v>2</v>
      </c>
      <c r="D38">
        <f t="shared" si="8"/>
        <v>-1.1110383028034576E-6</v>
      </c>
      <c r="E38">
        <f t="shared" si="1"/>
        <v>6</v>
      </c>
      <c r="F38">
        <f t="shared" si="9"/>
        <v>0.99999962965350475</v>
      </c>
      <c r="G38">
        <f t="shared" si="3"/>
        <v>-7.4069257904874064E-7</v>
      </c>
      <c r="O38">
        <f t="shared" si="4"/>
        <v>5.5551961430921892E-7</v>
      </c>
    </row>
    <row r="39" spans="1:15">
      <c r="A39">
        <v>38</v>
      </c>
      <c r="B39">
        <f t="shared" si="7"/>
        <v>0.99999962965350475</v>
      </c>
      <c r="C39">
        <v>2</v>
      </c>
      <c r="D39">
        <f t="shared" si="8"/>
        <v>-7.4069257904874064E-7</v>
      </c>
      <c r="E39">
        <f t="shared" si="1"/>
        <v>6</v>
      </c>
      <c r="F39">
        <f t="shared" si="9"/>
        <v>0.99999975310229838</v>
      </c>
      <c r="G39">
        <f t="shared" si="3"/>
        <v>-4.9379522037984458E-7</v>
      </c>
      <c r="O39">
        <f t="shared" si="4"/>
        <v>3.7034649524869678E-7</v>
      </c>
    </row>
    <row r="40" spans="1:15">
      <c r="A40">
        <v>39</v>
      </c>
      <c r="B40">
        <f t="shared" si="7"/>
        <v>0.99999975310229838</v>
      </c>
      <c r="C40">
        <v>2</v>
      </c>
      <c r="D40">
        <f t="shared" si="8"/>
        <v>-4.9379522037984458E-7</v>
      </c>
      <c r="E40">
        <f t="shared" si="1"/>
        <v>6</v>
      </c>
      <c r="F40">
        <f t="shared" si="9"/>
        <v>0.99999983540151538</v>
      </c>
      <c r="G40">
        <f t="shared" si="3"/>
        <v>-3.291968879715057E-7</v>
      </c>
      <c r="O40">
        <f t="shared" si="4"/>
        <v>2.4689770161678837E-7</v>
      </c>
    </row>
    <row r="41" spans="1:15">
      <c r="A41">
        <v>40</v>
      </c>
      <c r="B41">
        <f t="shared" si="7"/>
        <v>0.99999983540151538</v>
      </c>
      <c r="C41">
        <v>2</v>
      </c>
      <c r="D41">
        <f t="shared" si="8"/>
        <v>-3.291968879715057E-7</v>
      </c>
      <c r="E41">
        <f t="shared" si="1"/>
        <v>6</v>
      </c>
      <c r="F41">
        <f t="shared" si="9"/>
        <v>0.99999989026766944</v>
      </c>
      <c r="G41">
        <f t="shared" si="3"/>
        <v>-2.194646250286425E-7</v>
      </c>
      <c r="O41">
        <f t="shared" si="4"/>
        <v>1.6459848461991555E-7</v>
      </c>
    </row>
    <row r="42" spans="1:15">
      <c r="A42">
        <v>41</v>
      </c>
      <c r="B42">
        <f t="shared" si="7"/>
        <v>0.99999989026766944</v>
      </c>
      <c r="C42">
        <v>2</v>
      </c>
      <c r="D42">
        <f t="shared" si="8"/>
        <v>-2.194646250286425E-7</v>
      </c>
      <c r="E42">
        <f t="shared" si="1"/>
        <v>6</v>
      </c>
      <c r="F42">
        <f t="shared" si="9"/>
        <v>0.99999992684510963</v>
      </c>
      <c r="G42">
        <f t="shared" si="3"/>
        <v>-1.4630976474805379E-7</v>
      </c>
      <c r="O42">
        <f t="shared" si="4"/>
        <v>1.097323305554454E-7</v>
      </c>
    </row>
    <row r="43" spans="1:15">
      <c r="A43">
        <v>42</v>
      </c>
      <c r="B43">
        <f t="shared" si="7"/>
        <v>0.99999992684510963</v>
      </c>
      <c r="C43">
        <v>2</v>
      </c>
      <c r="D43">
        <f t="shared" si="8"/>
        <v>-1.4630976474805379E-7</v>
      </c>
      <c r="E43">
        <f t="shared" si="1"/>
        <v>6</v>
      </c>
      <c r="F43">
        <f t="shared" si="9"/>
        <v>0.99999995123007157</v>
      </c>
      <c r="G43">
        <f t="shared" si="3"/>
        <v>-9.7539849752692476E-8</v>
      </c>
      <c r="O43">
        <f t="shared" si="4"/>
        <v>7.3154890367632674E-8</v>
      </c>
    </row>
    <row r="44" spans="1:15">
      <c r="A44">
        <v>43</v>
      </c>
      <c r="B44">
        <f t="shared" si="7"/>
        <v>0.99999995123007157</v>
      </c>
      <c r="C44">
        <v>2</v>
      </c>
      <c r="D44">
        <f t="shared" si="8"/>
        <v>-9.7539849752692476E-8</v>
      </c>
      <c r="E44">
        <f t="shared" si="1"/>
        <v>6</v>
      </c>
      <c r="F44">
        <f t="shared" si="9"/>
        <v>0.99999996748671371</v>
      </c>
      <c r="G44">
        <f t="shared" si="3"/>
        <v>-6.5026569351367414E-8</v>
      </c>
      <c r="O44">
        <f t="shared" si="4"/>
        <v>4.8769928429059917E-8</v>
      </c>
    </row>
    <row r="45" spans="1:15">
      <c r="A45">
        <v>44</v>
      </c>
      <c r="B45">
        <f t="shared" si="7"/>
        <v>0.99999996748671371</v>
      </c>
      <c r="C45">
        <v>2</v>
      </c>
      <c r="D45">
        <f t="shared" si="8"/>
        <v>-6.5026569351367414E-8</v>
      </c>
      <c r="E45">
        <f t="shared" si="1"/>
        <v>6</v>
      </c>
      <c r="F45">
        <f t="shared" si="9"/>
        <v>0.99999997832447551</v>
      </c>
      <c r="G45">
        <f t="shared" si="3"/>
        <v>-4.335104764052744E-8</v>
      </c>
      <c r="O45">
        <f t="shared" si="4"/>
        <v>3.2513286285507093E-8</v>
      </c>
    </row>
    <row r="46" spans="1:15">
      <c r="A46">
        <v>45</v>
      </c>
      <c r="B46">
        <f t="shared" si="7"/>
        <v>0.99999997832447551</v>
      </c>
      <c r="C46">
        <v>2</v>
      </c>
      <c r="D46">
        <f t="shared" si="8"/>
        <v>-4.335104764052744E-8</v>
      </c>
      <c r="E46">
        <f t="shared" si="1"/>
        <v>6</v>
      </c>
      <c r="F46">
        <f t="shared" si="9"/>
        <v>0.99999998554965019</v>
      </c>
      <c r="G46">
        <f t="shared" si="3"/>
        <v>-2.8900698945122372E-8</v>
      </c>
      <c r="O46">
        <f t="shared" si="4"/>
        <v>2.1675524486397535E-8</v>
      </c>
    </row>
    <row r="47" spans="1:15">
      <c r="A47">
        <v>46</v>
      </c>
      <c r="B47">
        <f t="shared" si="7"/>
        <v>0.99999998554965019</v>
      </c>
      <c r="C47">
        <v>2</v>
      </c>
      <c r="D47">
        <f t="shared" si="8"/>
        <v>-2.8900698945122372E-8</v>
      </c>
      <c r="E47">
        <f t="shared" si="1"/>
        <v>6</v>
      </c>
      <c r="F47">
        <f t="shared" si="9"/>
        <v>0.99999999036643339</v>
      </c>
      <c r="G47">
        <f t="shared" si="3"/>
        <v>-1.926713288913362E-8</v>
      </c>
      <c r="O47">
        <f t="shared" si="4"/>
        <v>1.4450349805628093E-8</v>
      </c>
    </row>
    <row r="48" spans="1:15">
      <c r="A48">
        <v>47</v>
      </c>
      <c r="B48">
        <f t="shared" si="7"/>
        <v>0.99999999036643339</v>
      </c>
      <c r="C48">
        <v>2</v>
      </c>
      <c r="D48">
        <f t="shared" si="8"/>
        <v>-1.926713288913362E-8</v>
      </c>
      <c r="E48">
        <f t="shared" si="1"/>
        <v>6</v>
      </c>
      <c r="F48">
        <f t="shared" si="9"/>
        <v>0.99999999357762226</v>
      </c>
      <c r="G48">
        <f t="shared" si="3"/>
        <v>-1.2844755370444716E-8</v>
      </c>
      <c r="O48">
        <f t="shared" si="4"/>
        <v>9.6335666111002638E-9</v>
      </c>
    </row>
    <row r="49" spans="1:15">
      <c r="A49">
        <v>48</v>
      </c>
      <c r="B49">
        <f t="shared" si="7"/>
        <v>0.99999999357762226</v>
      </c>
      <c r="C49">
        <v>2</v>
      </c>
      <c r="D49">
        <f t="shared" si="8"/>
        <v>-1.2844755370444716E-8</v>
      </c>
      <c r="E49">
        <f t="shared" si="1"/>
        <v>6</v>
      </c>
      <c r="F49">
        <f t="shared" si="9"/>
        <v>0.9999999957184148</v>
      </c>
      <c r="G49">
        <f t="shared" si="3"/>
        <v>-8.5631703949928806E-9</v>
      </c>
      <c r="O49">
        <f t="shared" si="4"/>
        <v>6.4223777407335092E-9</v>
      </c>
    </row>
    <row r="50" spans="1:15">
      <c r="A50">
        <v>49</v>
      </c>
      <c r="B50">
        <f t="shared" ref="B50:B90" si="10">F49</f>
        <v>0.9999999957184148</v>
      </c>
      <c r="C50">
        <v>2</v>
      </c>
      <c r="D50">
        <f t="shared" ref="D50:D90" si="11">B50^3-B50</f>
        <v>-8.5631703949928806E-9</v>
      </c>
      <c r="E50">
        <f t="shared" ref="E50:E90" si="12">C50^3-C50</f>
        <v>6</v>
      </c>
      <c r="F50">
        <f t="shared" ref="F50:F90" si="13">(-D50*(C50-B50))/(E50-D50)+B50</f>
        <v>0.99999999714560983</v>
      </c>
      <c r="G50">
        <f t="shared" si="3"/>
        <v>-5.7087803373434554E-9</v>
      </c>
      <c r="O50">
        <f t="shared" si="4"/>
        <v>4.2815851974964403E-9</v>
      </c>
    </row>
    <row r="51" spans="1:15">
      <c r="A51">
        <v>50</v>
      </c>
      <c r="B51">
        <f t="shared" si="10"/>
        <v>0.99999999714560983</v>
      </c>
      <c r="C51">
        <v>2</v>
      </c>
      <c r="D51">
        <f t="shared" si="11"/>
        <v>-5.7087803373434554E-9</v>
      </c>
      <c r="E51">
        <f t="shared" si="12"/>
        <v>6</v>
      </c>
      <c r="F51">
        <f t="shared" si="13"/>
        <v>0.99999999809707318</v>
      </c>
      <c r="G51">
        <f t="shared" si="3"/>
        <v>-3.8058536322438385E-9</v>
      </c>
      <c r="O51">
        <f t="shared" si="4"/>
        <v>2.8543901686717277E-9</v>
      </c>
    </row>
    <row r="52" spans="1:15">
      <c r="A52">
        <v>51</v>
      </c>
      <c r="B52">
        <f t="shared" si="10"/>
        <v>0.99999999809707318</v>
      </c>
      <c r="C52">
        <v>2</v>
      </c>
      <c r="D52">
        <f t="shared" si="11"/>
        <v>-3.8058536322438385E-9</v>
      </c>
      <c r="E52">
        <f t="shared" si="12"/>
        <v>6</v>
      </c>
      <c r="F52">
        <f t="shared" si="13"/>
        <v>0.99999999873138212</v>
      </c>
      <c r="G52">
        <f t="shared" si="3"/>
        <v>-2.5372357548292257E-9</v>
      </c>
      <c r="O52">
        <f t="shared" si="4"/>
        <v>1.9029268161219193E-9</v>
      </c>
    </row>
    <row r="53" spans="1:15">
      <c r="A53">
        <v>52</v>
      </c>
      <c r="B53">
        <f t="shared" si="10"/>
        <v>0.99999999873138212</v>
      </c>
      <c r="C53">
        <v>2</v>
      </c>
      <c r="D53">
        <f t="shared" si="11"/>
        <v>-2.5372357548292257E-9</v>
      </c>
      <c r="E53">
        <f t="shared" si="12"/>
        <v>6</v>
      </c>
      <c r="F53">
        <f t="shared" si="13"/>
        <v>0.99999999915425475</v>
      </c>
      <c r="G53">
        <f t="shared" si="3"/>
        <v>-1.6914905032194838E-9</v>
      </c>
      <c r="O53">
        <f t="shared" si="4"/>
        <v>1.2686178774146128E-9</v>
      </c>
    </row>
    <row r="54" spans="1:15">
      <c r="A54">
        <v>53</v>
      </c>
      <c r="B54">
        <f t="shared" si="10"/>
        <v>0.99999999915425475</v>
      </c>
      <c r="C54">
        <v>2</v>
      </c>
      <c r="D54">
        <f t="shared" si="11"/>
        <v>-1.6914905032194838E-9</v>
      </c>
      <c r="E54">
        <f t="shared" si="12"/>
        <v>6</v>
      </c>
      <c r="F54">
        <f t="shared" si="13"/>
        <v>0.9999999994361698</v>
      </c>
      <c r="G54">
        <f t="shared" si="3"/>
        <v>-1.1276604094945242E-9</v>
      </c>
      <c r="O54">
        <f t="shared" si="4"/>
        <v>8.457452516097419E-10</v>
      </c>
    </row>
    <row r="55" spans="1:15">
      <c r="A55">
        <v>54</v>
      </c>
      <c r="B55">
        <f t="shared" si="10"/>
        <v>0.9999999994361698</v>
      </c>
      <c r="C55">
        <v>2</v>
      </c>
      <c r="D55">
        <f t="shared" si="11"/>
        <v>-1.1276604094945242E-9</v>
      </c>
      <c r="E55">
        <f t="shared" si="12"/>
        <v>6</v>
      </c>
      <c r="F55">
        <f t="shared" si="13"/>
        <v>0.99999999962411323</v>
      </c>
      <c r="G55">
        <f t="shared" si="3"/>
        <v>-7.5177353231481447E-10</v>
      </c>
      <c r="O55">
        <f t="shared" si="4"/>
        <v>5.6383020474726209E-10</v>
      </c>
    </row>
    <row r="56" spans="1:15">
      <c r="A56">
        <v>55</v>
      </c>
      <c r="B56">
        <f t="shared" si="10"/>
        <v>0.99999999962411323</v>
      </c>
      <c r="C56">
        <v>2</v>
      </c>
      <c r="D56">
        <f t="shared" si="11"/>
        <v>-7.5177353231481447E-10</v>
      </c>
      <c r="E56">
        <f t="shared" si="12"/>
        <v>6</v>
      </c>
      <c r="F56">
        <f t="shared" si="13"/>
        <v>0.99999999974940879</v>
      </c>
      <c r="G56">
        <f t="shared" si="3"/>
        <v>-5.0118242889141129E-10</v>
      </c>
      <c r="O56">
        <f t="shared" si="4"/>
        <v>3.7588676615740724E-10</v>
      </c>
    </row>
    <row r="57" spans="1:15">
      <c r="A57">
        <v>56</v>
      </c>
      <c r="B57">
        <f t="shared" si="10"/>
        <v>0.99999999974940879</v>
      </c>
      <c r="C57">
        <v>2</v>
      </c>
      <c r="D57">
        <f t="shared" si="11"/>
        <v>-5.0118242889141129E-10</v>
      </c>
      <c r="E57">
        <f t="shared" si="12"/>
        <v>6</v>
      </c>
      <c r="F57">
        <f t="shared" si="13"/>
        <v>0.99999999983293919</v>
      </c>
      <c r="G57">
        <f t="shared" si="3"/>
        <v>-3.3412161926094086E-10</v>
      </c>
      <c r="O57">
        <f t="shared" si="4"/>
        <v>2.5059121444570565E-10</v>
      </c>
    </row>
    <row r="58" spans="1:15">
      <c r="A58">
        <v>57</v>
      </c>
      <c r="B58">
        <f t="shared" si="10"/>
        <v>0.99999999983293919</v>
      </c>
      <c r="C58">
        <v>2</v>
      </c>
      <c r="D58">
        <f t="shared" si="11"/>
        <v>-3.3412161926094086E-10</v>
      </c>
      <c r="E58">
        <f t="shared" si="12"/>
        <v>6</v>
      </c>
      <c r="F58">
        <f t="shared" si="13"/>
        <v>0.99999999988862609</v>
      </c>
      <c r="G58">
        <f t="shared" si="3"/>
        <v>-2.2274782018882888E-10</v>
      </c>
      <c r="O58">
        <f t="shared" si="4"/>
        <v>1.6706080963047043E-10</v>
      </c>
    </row>
    <row r="59" spans="1:15">
      <c r="A59">
        <v>58</v>
      </c>
      <c r="B59">
        <f t="shared" si="10"/>
        <v>0.99999999988862609</v>
      </c>
      <c r="C59">
        <v>2</v>
      </c>
      <c r="D59">
        <f t="shared" si="11"/>
        <v>-2.2274782018882888E-10</v>
      </c>
      <c r="E59">
        <f t="shared" si="12"/>
        <v>6</v>
      </c>
      <c r="F59">
        <f t="shared" si="13"/>
        <v>0.99999999992575073</v>
      </c>
      <c r="G59">
        <f t="shared" si="3"/>
        <v>-1.4849854679255259E-10</v>
      </c>
      <c r="O59">
        <f t="shared" si="4"/>
        <v>1.1137391009441444E-10</v>
      </c>
    </row>
    <row r="60" spans="1:15">
      <c r="A60">
        <v>59</v>
      </c>
      <c r="B60">
        <f t="shared" si="10"/>
        <v>0.99999999992575073</v>
      </c>
      <c r="C60">
        <v>2</v>
      </c>
      <c r="D60">
        <f t="shared" si="11"/>
        <v>-1.4849854679255259E-10</v>
      </c>
      <c r="E60">
        <f t="shared" si="12"/>
        <v>6</v>
      </c>
      <c r="F60">
        <f t="shared" si="13"/>
        <v>0.99999999995050048</v>
      </c>
      <c r="G60">
        <f t="shared" si="3"/>
        <v>-9.8999031195035059E-11</v>
      </c>
      <c r="O60">
        <f t="shared" si="4"/>
        <v>7.4249273396276294E-11</v>
      </c>
    </row>
    <row r="61" spans="1:15">
      <c r="A61">
        <v>60</v>
      </c>
      <c r="B61">
        <f t="shared" si="10"/>
        <v>0.99999999995050048</v>
      </c>
      <c r="C61">
        <v>2</v>
      </c>
      <c r="D61">
        <f t="shared" si="11"/>
        <v>-9.8999031195035059E-11</v>
      </c>
      <c r="E61">
        <f t="shared" si="12"/>
        <v>6</v>
      </c>
      <c r="F61">
        <f t="shared" si="13"/>
        <v>0.99999999996700029</v>
      </c>
      <c r="G61">
        <f t="shared" si="3"/>
        <v>-6.5999428144891681E-11</v>
      </c>
      <c r="O61">
        <f t="shared" si="4"/>
        <v>4.9499515597517529E-11</v>
      </c>
    </row>
    <row r="62" spans="1:15">
      <c r="A62">
        <v>61</v>
      </c>
      <c r="B62">
        <f t="shared" si="10"/>
        <v>0.99999999996700029</v>
      </c>
      <c r="C62">
        <v>2</v>
      </c>
      <c r="D62">
        <f t="shared" si="11"/>
        <v>-6.5999428144891681E-11</v>
      </c>
      <c r="E62">
        <f t="shared" si="12"/>
        <v>6</v>
      </c>
      <c r="F62">
        <f t="shared" si="13"/>
        <v>0.99999999997800015</v>
      </c>
      <c r="G62">
        <f t="shared" si="3"/>
        <v>-4.3999692778129429E-11</v>
      </c>
      <c r="O62">
        <f t="shared" si="4"/>
        <v>3.299971407244584E-11</v>
      </c>
    </row>
    <row r="63" spans="1:15">
      <c r="A63">
        <v>62</v>
      </c>
      <c r="B63">
        <f t="shared" si="10"/>
        <v>0.99999999997800015</v>
      </c>
      <c r="C63">
        <v>2</v>
      </c>
      <c r="D63">
        <f t="shared" si="11"/>
        <v>-4.3999692778129429E-11</v>
      </c>
      <c r="E63">
        <f t="shared" si="12"/>
        <v>6</v>
      </c>
      <c r="F63">
        <f t="shared" si="13"/>
        <v>0.9999999999853334</v>
      </c>
      <c r="G63">
        <f t="shared" si="3"/>
        <v>-2.9333202533621261E-11</v>
      </c>
      <c r="O63">
        <f t="shared" si="4"/>
        <v>2.1999846389064714E-11</v>
      </c>
    </row>
    <row r="64" spans="1:15">
      <c r="A64">
        <v>63</v>
      </c>
      <c r="B64">
        <f t="shared" si="10"/>
        <v>0.9999999999853334</v>
      </c>
      <c r="C64">
        <v>2</v>
      </c>
      <c r="D64">
        <f t="shared" si="11"/>
        <v>-2.9333202533621261E-11</v>
      </c>
      <c r="E64">
        <f t="shared" si="12"/>
        <v>6</v>
      </c>
      <c r="F64">
        <f t="shared" si="13"/>
        <v>0.99999999999022227</v>
      </c>
      <c r="G64">
        <f t="shared" si="3"/>
        <v>-1.9555468355747507E-11</v>
      </c>
      <c r="O64">
        <f t="shared" si="4"/>
        <v>1.466660126681063E-11</v>
      </c>
    </row>
    <row r="65" spans="1:15">
      <c r="A65">
        <v>64</v>
      </c>
      <c r="B65">
        <f t="shared" si="10"/>
        <v>0.99999999999022227</v>
      </c>
      <c r="C65">
        <v>2</v>
      </c>
      <c r="D65">
        <f t="shared" si="11"/>
        <v>-1.9555468355747507E-11</v>
      </c>
      <c r="E65">
        <f t="shared" si="12"/>
        <v>6</v>
      </c>
      <c r="F65">
        <f t="shared" si="13"/>
        <v>0.99999999999348155</v>
      </c>
      <c r="G65">
        <f t="shared" si="3"/>
        <v>-1.3036904888963363E-11</v>
      </c>
      <c r="O65">
        <f t="shared" si="4"/>
        <v>9.7777341778737537E-12</v>
      </c>
    </row>
    <row r="66" spans="1:15">
      <c r="A66">
        <v>65</v>
      </c>
      <c r="B66">
        <f t="shared" si="10"/>
        <v>0.99999999999348155</v>
      </c>
      <c r="C66">
        <v>2</v>
      </c>
      <c r="D66">
        <f t="shared" si="11"/>
        <v>-1.3036904888963363E-11</v>
      </c>
      <c r="E66">
        <f t="shared" si="12"/>
        <v>6</v>
      </c>
      <c r="F66">
        <f t="shared" si="13"/>
        <v>0.99999999999565437</v>
      </c>
      <c r="G66">
        <f t="shared" si="3"/>
        <v>-8.6912699259755755E-12</v>
      </c>
      <c r="O66">
        <f t="shared" si="4"/>
        <v>6.5184524444816816E-12</v>
      </c>
    </row>
    <row r="67" spans="1:15">
      <c r="A67">
        <v>66</v>
      </c>
      <c r="B67">
        <f t="shared" si="10"/>
        <v>0.99999999999565437</v>
      </c>
      <c r="C67">
        <v>2</v>
      </c>
      <c r="D67">
        <f t="shared" si="11"/>
        <v>-8.6912699259755755E-12</v>
      </c>
      <c r="E67">
        <f t="shared" si="12"/>
        <v>6</v>
      </c>
      <c r="F67">
        <f t="shared" si="13"/>
        <v>0.99999999999710287</v>
      </c>
      <c r="G67">
        <f t="shared" ref="G67:G90" si="14">F67^3-F67</f>
        <v>-5.794253965518692E-12</v>
      </c>
      <c r="O67">
        <f t="shared" ref="O67:O90" si="15">1-B67</f>
        <v>4.3456349629877877E-12</v>
      </c>
    </row>
    <row r="68" spans="1:15">
      <c r="A68">
        <v>67</v>
      </c>
      <c r="B68">
        <f t="shared" si="10"/>
        <v>0.99999999999710287</v>
      </c>
      <c r="C68">
        <v>2</v>
      </c>
      <c r="D68">
        <f t="shared" si="11"/>
        <v>-5.794253965518692E-12</v>
      </c>
      <c r="E68">
        <f t="shared" si="12"/>
        <v>6</v>
      </c>
      <c r="F68">
        <f t="shared" si="13"/>
        <v>0.99999999999806855</v>
      </c>
      <c r="G68">
        <f t="shared" si="14"/>
        <v>-3.8629099918807697E-12</v>
      </c>
      <c r="O68">
        <f t="shared" si="15"/>
        <v>2.897126982759346E-12</v>
      </c>
    </row>
    <row r="69" spans="1:15">
      <c r="A69">
        <v>68</v>
      </c>
      <c r="B69">
        <f t="shared" si="10"/>
        <v>0.99999999999806855</v>
      </c>
      <c r="C69">
        <v>2</v>
      </c>
      <c r="D69">
        <f t="shared" si="11"/>
        <v>-3.8629099918807697E-12</v>
      </c>
      <c r="E69">
        <f t="shared" si="12"/>
        <v>6</v>
      </c>
      <c r="F69">
        <f t="shared" si="13"/>
        <v>0.99999999999871236</v>
      </c>
      <c r="G69">
        <f t="shared" si="14"/>
        <v>-2.5752733279205131E-12</v>
      </c>
      <c r="O69">
        <f t="shared" si="15"/>
        <v>1.9314549959403848E-12</v>
      </c>
    </row>
    <row r="70" spans="1:15">
      <c r="A70">
        <v>69</v>
      </c>
      <c r="B70">
        <f t="shared" si="10"/>
        <v>0.99999999999871236</v>
      </c>
      <c r="C70">
        <v>2</v>
      </c>
      <c r="D70">
        <f t="shared" si="11"/>
        <v>-2.5752733279205131E-12</v>
      </c>
      <c r="E70">
        <f t="shared" si="12"/>
        <v>6</v>
      </c>
      <c r="F70">
        <f t="shared" si="13"/>
        <v>0.99999999999914158</v>
      </c>
      <c r="G70">
        <f t="shared" si="14"/>
        <v>-1.7168488852803421E-12</v>
      </c>
      <c r="O70">
        <f t="shared" si="15"/>
        <v>1.2876366639602566E-12</v>
      </c>
    </row>
    <row r="71" spans="1:15">
      <c r="A71">
        <v>70</v>
      </c>
      <c r="B71">
        <f t="shared" si="10"/>
        <v>0.99999999999914158</v>
      </c>
      <c r="C71">
        <v>2</v>
      </c>
      <c r="D71">
        <f t="shared" si="11"/>
        <v>-1.7168488852803421E-12</v>
      </c>
      <c r="E71">
        <f t="shared" si="12"/>
        <v>6</v>
      </c>
      <c r="F71">
        <f t="shared" si="13"/>
        <v>0.99999999999942768</v>
      </c>
      <c r="G71">
        <f t="shared" si="14"/>
        <v>-1.1446399383885364E-12</v>
      </c>
      <c r="O71">
        <f t="shared" si="15"/>
        <v>8.5842444264017104E-13</v>
      </c>
    </row>
    <row r="72" spans="1:15">
      <c r="A72">
        <v>71</v>
      </c>
      <c r="B72">
        <f t="shared" si="10"/>
        <v>0.99999999999942768</v>
      </c>
      <c r="C72">
        <v>2</v>
      </c>
      <c r="D72">
        <f t="shared" si="11"/>
        <v>-1.1446399383885364E-12</v>
      </c>
      <c r="E72">
        <f t="shared" si="12"/>
        <v>6</v>
      </c>
      <c r="F72">
        <f t="shared" si="13"/>
        <v>0.99999999999961842</v>
      </c>
      <c r="G72">
        <f t="shared" si="14"/>
        <v>-7.6316730712733261E-13</v>
      </c>
      <c r="O72">
        <f t="shared" si="15"/>
        <v>5.723199691942682E-13</v>
      </c>
    </row>
    <row r="73" spans="1:15">
      <c r="A73">
        <v>72</v>
      </c>
      <c r="B73">
        <f t="shared" si="10"/>
        <v>0.99999999999961842</v>
      </c>
      <c r="C73">
        <v>2</v>
      </c>
      <c r="D73">
        <f t="shared" si="11"/>
        <v>-7.6316730712733261E-13</v>
      </c>
      <c r="E73">
        <f t="shared" si="12"/>
        <v>6</v>
      </c>
      <c r="F73">
        <f t="shared" si="13"/>
        <v>0.99999999999974565</v>
      </c>
      <c r="G73">
        <f t="shared" si="14"/>
        <v>-5.0870418988324673E-13</v>
      </c>
      <c r="O73">
        <f t="shared" si="15"/>
        <v>3.815836535636663E-13</v>
      </c>
    </row>
    <row r="74" spans="1:15">
      <c r="A74">
        <v>73</v>
      </c>
      <c r="B74">
        <f t="shared" si="10"/>
        <v>0.99999999999974565</v>
      </c>
      <c r="C74">
        <v>2</v>
      </c>
      <c r="D74">
        <f t="shared" si="11"/>
        <v>-5.0870418988324673E-13</v>
      </c>
      <c r="E74">
        <f t="shared" si="12"/>
        <v>6</v>
      </c>
      <c r="F74">
        <f t="shared" si="13"/>
        <v>0.99999999999983047</v>
      </c>
      <c r="G74">
        <f t="shared" si="14"/>
        <v>-3.3906211172052281E-13</v>
      </c>
      <c r="O74">
        <f t="shared" si="15"/>
        <v>2.5435209494162336E-13</v>
      </c>
    </row>
    <row r="75" spans="1:15">
      <c r="A75">
        <v>74</v>
      </c>
      <c r="B75">
        <f t="shared" si="10"/>
        <v>0.99999999999983047</v>
      </c>
      <c r="C75">
        <v>2</v>
      </c>
      <c r="D75">
        <f t="shared" si="11"/>
        <v>-3.3906211172052281E-13</v>
      </c>
      <c r="E75">
        <f t="shared" si="12"/>
        <v>6</v>
      </c>
      <c r="F75">
        <f t="shared" si="13"/>
        <v>0.99999999999988698</v>
      </c>
      <c r="G75">
        <f t="shared" si="14"/>
        <v>-2.2604140781368187E-13</v>
      </c>
      <c r="O75">
        <f t="shared" si="15"/>
        <v>1.695310558602614E-13</v>
      </c>
    </row>
    <row r="76" spans="1:15">
      <c r="A76">
        <v>75</v>
      </c>
      <c r="B76">
        <f t="shared" si="10"/>
        <v>0.99999999999988698</v>
      </c>
      <c r="C76">
        <v>2</v>
      </c>
      <c r="D76">
        <f t="shared" si="11"/>
        <v>-2.2604140781368187E-13</v>
      </c>
      <c r="E76">
        <f t="shared" si="12"/>
        <v>6</v>
      </c>
      <c r="F76">
        <f t="shared" si="13"/>
        <v>0.99999999999992462</v>
      </c>
      <c r="G76">
        <f t="shared" si="14"/>
        <v>-1.5076828674409626E-13</v>
      </c>
      <c r="O76">
        <f t="shared" si="15"/>
        <v>1.1302070390684094E-13</v>
      </c>
    </row>
    <row r="77" spans="1:15">
      <c r="A77">
        <v>76</v>
      </c>
      <c r="B77">
        <f t="shared" si="10"/>
        <v>0.99999999999992462</v>
      </c>
      <c r="C77">
        <v>2</v>
      </c>
      <c r="D77">
        <f t="shared" si="11"/>
        <v>-1.5076828674409626E-13</v>
      </c>
      <c r="E77">
        <f t="shared" si="12"/>
        <v>6</v>
      </c>
      <c r="F77">
        <f t="shared" si="13"/>
        <v>0.99999999999994971</v>
      </c>
      <c r="G77">
        <f t="shared" si="14"/>
        <v>-1.0058620603103918E-13</v>
      </c>
      <c r="O77">
        <f t="shared" si="15"/>
        <v>7.5384143372048129E-14</v>
      </c>
    </row>
    <row r="78" spans="1:15">
      <c r="A78">
        <v>77</v>
      </c>
      <c r="B78">
        <f t="shared" si="10"/>
        <v>0.99999999999994971</v>
      </c>
      <c r="C78">
        <v>2</v>
      </c>
      <c r="D78">
        <f t="shared" si="11"/>
        <v>-1.0058620603103918E-13</v>
      </c>
      <c r="E78">
        <f t="shared" si="12"/>
        <v>6</v>
      </c>
      <c r="F78">
        <f t="shared" si="13"/>
        <v>0.99999999999996647</v>
      </c>
      <c r="G78">
        <f t="shared" si="14"/>
        <v>-6.7057470687359455E-14</v>
      </c>
      <c r="O78">
        <f t="shared" si="15"/>
        <v>5.0293103015519591E-14</v>
      </c>
    </row>
    <row r="79" spans="1:15">
      <c r="A79">
        <v>78</v>
      </c>
      <c r="B79">
        <f t="shared" si="10"/>
        <v>0.99999999999996647</v>
      </c>
      <c r="C79">
        <v>2</v>
      </c>
      <c r="D79">
        <f t="shared" si="11"/>
        <v>-6.7057470687359455E-14</v>
      </c>
      <c r="E79">
        <f t="shared" si="12"/>
        <v>6</v>
      </c>
      <c r="F79">
        <f t="shared" si="13"/>
        <v>0.99999999999997768</v>
      </c>
      <c r="G79">
        <f t="shared" si="14"/>
        <v>-4.4630965589931293E-14</v>
      </c>
      <c r="O79">
        <f t="shared" si="15"/>
        <v>3.3528735343679728E-14</v>
      </c>
    </row>
    <row r="80" spans="1:15">
      <c r="A80">
        <v>79</v>
      </c>
      <c r="B80">
        <f t="shared" si="10"/>
        <v>0.99999999999997768</v>
      </c>
      <c r="C80">
        <v>2</v>
      </c>
      <c r="D80">
        <f t="shared" si="11"/>
        <v>-4.4630965589931293E-14</v>
      </c>
      <c r="E80">
        <f t="shared" si="12"/>
        <v>6</v>
      </c>
      <c r="F80">
        <f t="shared" si="13"/>
        <v>0.99999999999998512</v>
      </c>
      <c r="G80">
        <f t="shared" si="14"/>
        <v>-2.9753977059954195E-14</v>
      </c>
      <c r="O80">
        <f t="shared" si="15"/>
        <v>2.2315482794965646E-14</v>
      </c>
    </row>
    <row r="81" spans="1:15">
      <c r="A81">
        <v>80</v>
      </c>
      <c r="B81">
        <f t="shared" si="10"/>
        <v>0.99999999999998512</v>
      </c>
      <c r="C81">
        <v>2</v>
      </c>
      <c r="D81">
        <f t="shared" si="11"/>
        <v>-2.9753977059954195E-14</v>
      </c>
      <c r="E81">
        <f t="shared" si="12"/>
        <v>6</v>
      </c>
      <c r="F81">
        <f t="shared" si="13"/>
        <v>0.99999999999999012</v>
      </c>
      <c r="G81">
        <f t="shared" si="14"/>
        <v>-1.9761969838327786E-14</v>
      </c>
      <c r="O81">
        <f t="shared" si="15"/>
        <v>1.4876988529977098E-14</v>
      </c>
    </row>
    <row r="82" spans="1:15">
      <c r="A82">
        <v>81</v>
      </c>
      <c r="B82">
        <f t="shared" si="10"/>
        <v>0.99999999999999012</v>
      </c>
      <c r="C82">
        <v>2</v>
      </c>
      <c r="D82">
        <f t="shared" si="11"/>
        <v>-1.9761969838327786E-14</v>
      </c>
      <c r="E82">
        <f t="shared" si="12"/>
        <v>6</v>
      </c>
      <c r="F82">
        <f t="shared" si="13"/>
        <v>0.99999999999999345</v>
      </c>
      <c r="G82">
        <f t="shared" si="14"/>
        <v>-1.3100631690576847E-14</v>
      </c>
      <c r="O82">
        <f t="shared" si="15"/>
        <v>9.8809849191638932E-15</v>
      </c>
    </row>
    <row r="83" spans="1:15">
      <c r="A83">
        <v>82</v>
      </c>
      <c r="B83">
        <f t="shared" si="10"/>
        <v>0.99999999999999345</v>
      </c>
      <c r="C83">
        <v>2</v>
      </c>
      <c r="D83">
        <f t="shared" si="11"/>
        <v>-1.3100631690576847E-14</v>
      </c>
      <c r="E83">
        <f t="shared" si="12"/>
        <v>6</v>
      </c>
      <c r="F83">
        <f t="shared" si="13"/>
        <v>0.99999999999999567</v>
      </c>
      <c r="G83">
        <f t="shared" si="14"/>
        <v>-8.659739592076221E-15</v>
      </c>
      <c r="O83">
        <f t="shared" si="15"/>
        <v>6.5503158452884236E-15</v>
      </c>
    </row>
    <row r="84" spans="1:15">
      <c r="A84">
        <v>83</v>
      </c>
      <c r="B84">
        <f t="shared" si="10"/>
        <v>0.99999999999999567</v>
      </c>
      <c r="C84">
        <v>2</v>
      </c>
      <c r="D84">
        <f t="shared" si="11"/>
        <v>-8.659739592076221E-15</v>
      </c>
      <c r="E84">
        <f t="shared" si="12"/>
        <v>6</v>
      </c>
      <c r="F84">
        <f t="shared" si="13"/>
        <v>0.99999999999999711</v>
      </c>
      <c r="G84">
        <f t="shared" si="14"/>
        <v>-5.773159728050814E-15</v>
      </c>
      <c r="O84">
        <f t="shared" si="15"/>
        <v>4.3298697960381105E-15</v>
      </c>
    </row>
    <row r="85" spans="1:15">
      <c r="A85">
        <v>84</v>
      </c>
      <c r="B85">
        <f t="shared" si="10"/>
        <v>0.99999999999999711</v>
      </c>
      <c r="C85">
        <v>2</v>
      </c>
      <c r="D85">
        <f t="shared" si="11"/>
        <v>-5.773159728050814E-15</v>
      </c>
      <c r="E85">
        <f t="shared" si="12"/>
        <v>6</v>
      </c>
      <c r="F85">
        <f t="shared" si="13"/>
        <v>0.99999999999999811</v>
      </c>
      <c r="G85">
        <f t="shared" si="14"/>
        <v>-3.7747582837255322E-15</v>
      </c>
      <c r="O85">
        <f t="shared" si="15"/>
        <v>2.886579864025407E-15</v>
      </c>
    </row>
    <row r="86" spans="1:15">
      <c r="A86" s="1">
        <v>85</v>
      </c>
      <c r="B86" s="1">
        <f t="shared" si="10"/>
        <v>0.99999999999999811</v>
      </c>
      <c r="C86" s="1">
        <v>2</v>
      </c>
      <c r="D86" s="1">
        <f t="shared" si="11"/>
        <v>-3.7747582837255322E-15</v>
      </c>
      <c r="E86" s="1">
        <f t="shared" si="12"/>
        <v>6</v>
      </c>
      <c r="F86" s="1">
        <f t="shared" si="13"/>
        <v>0.99999999999999878</v>
      </c>
      <c r="G86" s="1">
        <f t="shared" si="14"/>
        <v>-2.4424906541753444E-15</v>
      </c>
      <c r="H86" s="1"/>
      <c r="I86" s="1"/>
      <c r="J86" s="1"/>
      <c r="K86" s="1"/>
      <c r="L86" s="1"/>
      <c r="M86" s="1"/>
      <c r="N86" s="1"/>
      <c r="O86" s="1">
        <f t="shared" si="15"/>
        <v>1.8873791418627661E-15</v>
      </c>
    </row>
    <row r="87" spans="1:15">
      <c r="A87">
        <v>86</v>
      </c>
      <c r="B87">
        <f t="shared" si="10"/>
        <v>0.99999999999999878</v>
      </c>
      <c r="C87">
        <v>2</v>
      </c>
      <c r="D87">
        <f t="shared" si="11"/>
        <v>-2.4424906541753444E-15</v>
      </c>
      <c r="E87">
        <f t="shared" si="12"/>
        <v>6</v>
      </c>
      <c r="F87">
        <f t="shared" si="13"/>
        <v>0.99999999999999922</v>
      </c>
      <c r="G87">
        <f t="shared" si="14"/>
        <v>-1.5543122344752192E-15</v>
      </c>
      <c r="O87">
        <f t="shared" si="15"/>
        <v>0</v>
      </c>
    </row>
    <row r="88" spans="1:15">
      <c r="A88">
        <v>87</v>
      </c>
      <c r="B88">
        <f t="shared" si="10"/>
        <v>0.99999999999999922</v>
      </c>
      <c r="C88">
        <v>2</v>
      </c>
      <c r="D88">
        <f t="shared" si="11"/>
        <v>-1.5543122344752192E-15</v>
      </c>
      <c r="E88">
        <f t="shared" si="12"/>
        <v>6</v>
      </c>
      <c r="F88">
        <f t="shared" si="13"/>
        <v>0.99999999999999944</v>
      </c>
      <c r="G88">
        <f t="shared" si="14"/>
        <v>-1.1102230246251565E-15</v>
      </c>
      <c r="O88">
        <f t="shared" si="15"/>
        <v>0</v>
      </c>
    </row>
    <row r="89" spans="1:15">
      <c r="A89">
        <v>88</v>
      </c>
      <c r="B89">
        <f t="shared" si="10"/>
        <v>0.99999999999999944</v>
      </c>
      <c r="C89">
        <v>2</v>
      </c>
      <c r="D89">
        <f t="shared" si="11"/>
        <v>-1.1102230246251565E-15</v>
      </c>
      <c r="E89">
        <f t="shared" si="12"/>
        <v>6</v>
      </c>
      <c r="F89">
        <f t="shared" si="13"/>
        <v>0.99999999999999967</v>
      </c>
      <c r="G89">
        <f t="shared" si="14"/>
        <v>0</v>
      </c>
      <c r="O89">
        <f t="shared" si="15"/>
        <v>0</v>
      </c>
    </row>
    <row r="90" spans="1:15">
      <c r="A90">
        <v>89</v>
      </c>
      <c r="B90">
        <f t="shared" si="10"/>
        <v>0.99999999999999967</v>
      </c>
      <c r="C90">
        <v>2</v>
      </c>
      <c r="D90">
        <f t="shared" si="11"/>
        <v>0</v>
      </c>
      <c r="E90">
        <f t="shared" si="12"/>
        <v>6</v>
      </c>
      <c r="F90">
        <f t="shared" si="13"/>
        <v>0.99999999999999967</v>
      </c>
      <c r="G90">
        <f t="shared" si="14"/>
        <v>0</v>
      </c>
      <c r="O90">
        <f t="shared" si="15"/>
        <v>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82BEB-B765-4690-9D49-4B855962F558}">
  <dimension ref="A1:I73"/>
  <sheetViews>
    <sheetView workbookViewId="0">
      <selection activeCell="G34" sqref="G34"/>
    </sheetView>
  </sheetViews>
  <sheetFormatPr defaultRowHeight="15"/>
  <cols>
    <col min="1" max="1" width="21.85546875" customWidth="1"/>
    <col min="2" max="2" width="25.85546875" customWidth="1"/>
    <col min="3" max="3" width="29.5703125" customWidth="1"/>
    <col min="7" max="7" width="25.5703125" customWidth="1"/>
    <col min="9" max="9" width="12.5703125" customWidth="1"/>
  </cols>
  <sheetData>
    <row r="1" spans="1:9">
      <c r="A1" t="s">
        <v>16</v>
      </c>
    </row>
    <row r="2" spans="1:9">
      <c r="B2" t="s">
        <v>14</v>
      </c>
      <c r="C2" t="s">
        <v>17</v>
      </c>
      <c r="E2" t="s">
        <v>18</v>
      </c>
      <c r="G2" t="s">
        <v>19</v>
      </c>
      <c r="I2" t="s">
        <v>20</v>
      </c>
    </row>
    <row r="3" spans="1:9">
      <c r="A3">
        <v>1</v>
      </c>
      <c r="B3">
        <v>1.5</v>
      </c>
      <c r="C3">
        <f>B3^(1/3)</f>
        <v>1.1447142425533319</v>
      </c>
      <c r="G3">
        <f>ABS(1-C3)</f>
        <v>0.14471424255333187</v>
      </c>
    </row>
    <row r="4" spans="1:9">
      <c r="A4">
        <v>2</v>
      </c>
      <c r="B4">
        <f>C3</f>
        <v>1.1447142425533319</v>
      </c>
      <c r="C4">
        <f>B4^(1/3)</f>
        <v>1.0460819186432146</v>
      </c>
      <c r="G4">
        <f t="shared" ref="G4:G67" si="0">ABS(1-C4)</f>
        <v>4.6081918643214648E-2</v>
      </c>
    </row>
    <row r="5" spans="1:9">
      <c r="A5">
        <v>3</v>
      </c>
      <c r="B5">
        <f t="shared" ref="B5:B21" si="1">C4</f>
        <v>1.0460819186432146</v>
      </c>
      <c r="C5">
        <f t="shared" ref="C5:C21" si="2">B5^(1/3)</f>
        <v>1.0151305513336319</v>
      </c>
      <c r="G5">
        <f t="shared" si="0"/>
        <v>1.5130551333631947E-2</v>
      </c>
    </row>
    <row r="6" spans="1:9">
      <c r="A6">
        <v>4</v>
      </c>
      <c r="B6">
        <f t="shared" si="1"/>
        <v>1.0151305513336319</v>
      </c>
      <c r="C6">
        <f t="shared" si="2"/>
        <v>1.0050182917336516</v>
      </c>
      <c r="G6">
        <f t="shared" si="0"/>
        <v>5.0182917336516475E-3</v>
      </c>
    </row>
    <row r="7" spans="1:9">
      <c r="A7">
        <v>5</v>
      </c>
      <c r="B7">
        <f t="shared" si="1"/>
        <v>1.0050182917336516</v>
      </c>
      <c r="C7">
        <f t="shared" si="2"/>
        <v>1.001669973547155</v>
      </c>
      <c r="G7">
        <f t="shared" si="0"/>
        <v>1.6699735471550348E-3</v>
      </c>
    </row>
    <row r="8" spans="1:9">
      <c r="A8">
        <v>6</v>
      </c>
      <c r="B8">
        <f t="shared" si="1"/>
        <v>1.001669973547155</v>
      </c>
      <c r="C8">
        <f t="shared" si="2"/>
        <v>1.0005563482682551</v>
      </c>
      <c r="G8">
        <f t="shared" si="0"/>
        <v>5.5634826825512462E-4</v>
      </c>
    </row>
    <row r="9" spans="1:9">
      <c r="A9">
        <v>7</v>
      </c>
      <c r="B9">
        <f t="shared" si="1"/>
        <v>1.0005563482682551</v>
      </c>
      <c r="C9">
        <f t="shared" si="2"/>
        <v>1.0001854150418892</v>
      </c>
      <c r="G9">
        <f t="shared" si="0"/>
        <v>1.854150418891809E-4</v>
      </c>
    </row>
    <row r="10" spans="1:9">
      <c r="A10">
        <v>8</v>
      </c>
      <c r="B10">
        <f t="shared" si="1"/>
        <v>1.0001854150418892</v>
      </c>
      <c r="C10">
        <f t="shared" si="2"/>
        <v>1.0000618011944968</v>
      </c>
      <c r="G10">
        <f t="shared" si="0"/>
        <v>6.1801194496835521E-5</v>
      </c>
    </row>
    <row r="11" spans="1:9">
      <c r="A11">
        <v>9</v>
      </c>
      <c r="B11">
        <f t="shared" si="1"/>
        <v>1.0000618011944968</v>
      </c>
      <c r="C11">
        <f t="shared" si="2"/>
        <v>1.0000205999738039</v>
      </c>
      <c r="G11">
        <f t="shared" si="0"/>
        <v>2.05999738038809E-5</v>
      </c>
    </row>
    <row r="12" spans="1:9">
      <c r="A12">
        <v>10</v>
      </c>
      <c r="B12">
        <f t="shared" si="1"/>
        <v>1.0000205999738039</v>
      </c>
      <c r="C12">
        <f t="shared" si="2"/>
        <v>1.0000068666107842</v>
      </c>
      <c r="G12">
        <f t="shared" si="0"/>
        <v>6.8666107841952595E-6</v>
      </c>
    </row>
    <row r="13" spans="1:9">
      <c r="A13">
        <v>11</v>
      </c>
      <c r="B13">
        <f t="shared" si="1"/>
        <v>1.0000068666107842</v>
      </c>
      <c r="C13">
        <f t="shared" si="2"/>
        <v>1.0000022888650224</v>
      </c>
      <c r="G13">
        <f t="shared" si="0"/>
        <v>2.2888650224039964E-6</v>
      </c>
    </row>
    <row r="14" spans="1:9">
      <c r="A14">
        <v>12</v>
      </c>
      <c r="B14">
        <f t="shared" si="1"/>
        <v>1.0000022888650224</v>
      </c>
      <c r="C14">
        <f t="shared" si="2"/>
        <v>1.0000007629544254</v>
      </c>
      <c r="G14">
        <f t="shared" si="0"/>
        <v>7.6295442541507441E-7</v>
      </c>
    </row>
    <row r="15" spans="1:9">
      <c r="A15">
        <v>13</v>
      </c>
      <c r="B15">
        <f t="shared" si="1"/>
        <v>1.0000007629544254</v>
      </c>
      <c r="C15">
        <f t="shared" si="2"/>
        <v>1.000000254318077</v>
      </c>
      <c r="G15">
        <f t="shared" si="0"/>
        <v>2.5431807704201503E-7</v>
      </c>
    </row>
    <row r="16" spans="1:9">
      <c r="A16">
        <v>14</v>
      </c>
      <c r="B16">
        <f t="shared" si="1"/>
        <v>1.000000254318077</v>
      </c>
      <c r="C16">
        <f t="shared" si="2"/>
        <v>1.0000000847726851</v>
      </c>
      <c r="G16">
        <f t="shared" si="0"/>
        <v>8.477268509388125E-8</v>
      </c>
    </row>
    <row r="17" spans="1:7">
      <c r="A17">
        <v>15</v>
      </c>
      <c r="B17">
        <f t="shared" si="1"/>
        <v>1.0000000847726851</v>
      </c>
      <c r="C17">
        <f t="shared" si="2"/>
        <v>1.000000028257561</v>
      </c>
      <c r="G17">
        <f t="shared" si="0"/>
        <v>2.8257560957811734E-8</v>
      </c>
    </row>
    <row r="18" spans="1:7">
      <c r="A18">
        <v>16</v>
      </c>
      <c r="B18">
        <f t="shared" si="1"/>
        <v>1.000000028257561</v>
      </c>
      <c r="C18">
        <f t="shared" si="2"/>
        <v>1.000000009419187</v>
      </c>
      <c r="G18">
        <f t="shared" si="0"/>
        <v>9.4191869859372446E-9</v>
      </c>
    </row>
    <row r="19" spans="1:7">
      <c r="A19">
        <v>17</v>
      </c>
      <c r="B19">
        <f t="shared" si="1"/>
        <v>1.000000009419187</v>
      </c>
      <c r="C19">
        <f t="shared" si="2"/>
        <v>1.0000000031397289</v>
      </c>
      <c r="G19">
        <f t="shared" si="0"/>
        <v>3.1397289212975465E-9</v>
      </c>
    </row>
    <row r="20" spans="1:7">
      <c r="A20">
        <v>18</v>
      </c>
      <c r="B20">
        <f t="shared" si="1"/>
        <v>1.0000000031397289</v>
      </c>
      <c r="C20">
        <f t="shared" si="2"/>
        <v>1.0000000010465764</v>
      </c>
      <c r="G20">
        <f t="shared" si="0"/>
        <v>1.0465763811140505E-9</v>
      </c>
    </row>
    <row r="21" spans="1:7">
      <c r="A21">
        <v>19</v>
      </c>
      <c r="B21">
        <f t="shared" si="1"/>
        <v>1.0000000010465764</v>
      </c>
      <c r="C21">
        <f t="shared" si="2"/>
        <v>1.0000000003488587</v>
      </c>
      <c r="G21">
        <f t="shared" si="0"/>
        <v>3.4885871968981519E-10</v>
      </c>
    </row>
    <row r="22" spans="1:7">
      <c r="A22">
        <v>20</v>
      </c>
      <c r="B22">
        <f t="shared" ref="B22:B72" si="3">C21</f>
        <v>1.0000000003488587</v>
      </c>
      <c r="C22">
        <f t="shared" ref="C22:C72" si="4">B22^(1/3)</f>
        <v>1.0000000001162863</v>
      </c>
      <c r="G22">
        <f t="shared" si="0"/>
        <v>1.1628631391147337E-10</v>
      </c>
    </row>
    <row r="23" spans="1:7">
      <c r="A23">
        <v>21</v>
      </c>
      <c r="B23">
        <f t="shared" si="3"/>
        <v>1.0000000001162863</v>
      </c>
      <c r="C23">
        <f t="shared" si="4"/>
        <v>1.0000000000387621</v>
      </c>
      <c r="G23">
        <f t="shared" si="0"/>
        <v>3.876210463715779E-11</v>
      </c>
    </row>
    <row r="24" spans="1:7">
      <c r="A24">
        <v>22</v>
      </c>
      <c r="B24">
        <f t="shared" si="3"/>
        <v>1.0000000000387621</v>
      </c>
      <c r="C24">
        <f t="shared" si="4"/>
        <v>1.0000000000129208</v>
      </c>
      <c r="G24">
        <f t="shared" si="0"/>
        <v>1.2920775560587572E-11</v>
      </c>
    </row>
    <row r="25" spans="1:7">
      <c r="A25">
        <v>23</v>
      </c>
      <c r="B25">
        <f t="shared" si="3"/>
        <v>1.0000000000129208</v>
      </c>
      <c r="C25">
        <f t="shared" si="4"/>
        <v>1.000000000004307</v>
      </c>
      <c r="G25">
        <f t="shared" si="0"/>
        <v>4.3069992017308323E-12</v>
      </c>
    </row>
    <row r="26" spans="1:7">
      <c r="A26">
        <v>24</v>
      </c>
      <c r="B26">
        <f t="shared" si="3"/>
        <v>1.000000000004307</v>
      </c>
      <c r="C26">
        <f t="shared" si="4"/>
        <v>1.0000000000014357</v>
      </c>
      <c r="G26">
        <f t="shared" si="0"/>
        <v>1.4357404154452524E-12</v>
      </c>
    </row>
    <row r="27" spans="1:7">
      <c r="A27">
        <v>25</v>
      </c>
      <c r="B27">
        <f t="shared" si="3"/>
        <v>1.0000000000014357</v>
      </c>
      <c r="C27">
        <f t="shared" si="4"/>
        <v>1.0000000000004785</v>
      </c>
      <c r="G27">
        <f t="shared" si="0"/>
        <v>4.7850612361344247E-13</v>
      </c>
    </row>
    <row r="28" spans="1:7">
      <c r="A28">
        <v>26</v>
      </c>
      <c r="B28">
        <f t="shared" si="3"/>
        <v>1.0000000000004785</v>
      </c>
      <c r="C28">
        <f t="shared" si="4"/>
        <v>1.0000000000001594</v>
      </c>
      <c r="G28">
        <f t="shared" si="0"/>
        <v>1.5942802633617248E-13</v>
      </c>
    </row>
    <row r="29" spans="1:7">
      <c r="A29">
        <v>27</v>
      </c>
      <c r="B29">
        <f t="shared" si="3"/>
        <v>1.0000000000001594</v>
      </c>
      <c r="C29">
        <f t="shared" si="4"/>
        <v>1.0000000000000531</v>
      </c>
      <c r="G29">
        <f t="shared" si="0"/>
        <v>5.3068660577082483E-14</v>
      </c>
    </row>
    <row r="30" spans="1:7">
      <c r="A30">
        <v>28</v>
      </c>
      <c r="B30">
        <f t="shared" si="3"/>
        <v>1.0000000000000531</v>
      </c>
      <c r="C30">
        <f t="shared" si="4"/>
        <v>1.0000000000000178</v>
      </c>
      <c r="G30">
        <f t="shared" si="0"/>
        <v>1.7763568394002505E-14</v>
      </c>
    </row>
    <row r="31" spans="1:7">
      <c r="A31">
        <v>29</v>
      </c>
      <c r="B31">
        <f t="shared" si="3"/>
        <v>1.0000000000000178</v>
      </c>
      <c r="C31">
        <f t="shared" si="4"/>
        <v>1.000000000000006</v>
      </c>
      <c r="G31">
        <f t="shared" si="0"/>
        <v>5.9952043329758453E-15</v>
      </c>
    </row>
    <row r="32" spans="1:7">
      <c r="A32">
        <v>30</v>
      </c>
      <c r="B32">
        <f t="shared" si="3"/>
        <v>1.000000000000006</v>
      </c>
      <c r="C32">
        <f t="shared" si="4"/>
        <v>1.000000000000002</v>
      </c>
      <c r="G32">
        <f t="shared" si="0"/>
        <v>1.9984014443252818E-15</v>
      </c>
    </row>
    <row r="33" spans="1:7">
      <c r="A33">
        <v>31</v>
      </c>
      <c r="B33">
        <f t="shared" si="3"/>
        <v>1.000000000000002</v>
      </c>
      <c r="C33">
        <f t="shared" si="4"/>
        <v>1.0000000000000007</v>
      </c>
      <c r="G33">
        <f t="shared" si="0"/>
        <v>6.6613381477509392E-16</v>
      </c>
    </row>
    <row r="34" spans="1:7">
      <c r="A34" s="1">
        <v>32</v>
      </c>
      <c r="B34" s="1">
        <f t="shared" si="3"/>
        <v>1.0000000000000007</v>
      </c>
      <c r="C34" s="1">
        <f t="shared" si="4"/>
        <v>1.0000000000000002</v>
      </c>
      <c r="D34" s="1"/>
      <c r="E34" s="1"/>
      <c r="F34" s="1"/>
      <c r="G34" s="1">
        <f t="shared" si="0"/>
        <v>2.2204460492503131E-16</v>
      </c>
    </row>
    <row r="35" spans="1:7">
      <c r="A35">
        <v>33</v>
      </c>
      <c r="B35">
        <f t="shared" si="3"/>
        <v>1.0000000000000002</v>
      </c>
      <c r="C35">
        <f t="shared" si="4"/>
        <v>1</v>
      </c>
      <c r="G35">
        <f t="shared" si="0"/>
        <v>0</v>
      </c>
    </row>
    <row r="36" spans="1:7">
      <c r="A36">
        <v>34</v>
      </c>
      <c r="B36">
        <f t="shared" si="3"/>
        <v>1</v>
      </c>
      <c r="C36">
        <f t="shared" si="4"/>
        <v>1</v>
      </c>
      <c r="G36">
        <f t="shared" si="0"/>
        <v>0</v>
      </c>
    </row>
    <row r="37" spans="1:7">
      <c r="A37">
        <v>35</v>
      </c>
      <c r="B37">
        <f t="shared" si="3"/>
        <v>1</v>
      </c>
      <c r="C37">
        <f t="shared" si="4"/>
        <v>1</v>
      </c>
      <c r="G37">
        <f t="shared" si="0"/>
        <v>0</v>
      </c>
    </row>
    <row r="38" spans="1:7">
      <c r="A38">
        <v>36</v>
      </c>
      <c r="B38">
        <f t="shared" si="3"/>
        <v>1</v>
      </c>
      <c r="C38">
        <f t="shared" si="4"/>
        <v>1</v>
      </c>
      <c r="G38">
        <f t="shared" si="0"/>
        <v>0</v>
      </c>
    </row>
    <row r="39" spans="1:7">
      <c r="A39">
        <v>37</v>
      </c>
      <c r="B39">
        <f t="shared" si="3"/>
        <v>1</v>
      </c>
      <c r="C39">
        <f t="shared" si="4"/>
        <v>1</v>
      </c>
      <c r="G39">
        <f t="shared" si="0"/>
        <v>0</v>
      </c>
    </row>
    <row r="40" spans="1:7">
      <c r="A40">
        <v>38</v>
      </c>
      <c r="B40">
        <f t="shared" si="3"/>
        <v>1</v>
      </c>
      <c r="C40">
        <f t="shared" si="4"/>
        <v>1</v>
      </c>
      <c r="G40">
        <f t="shared" si="0"/>
        <v>0</v>
      </c>
    </row>
    <row r="41" spans="1:7">
      <c r="A41">
        <v>39</v>
      </c>
      <c r="B41">
        <f t="shared" si="3"/>
        <v>1</v>
      </c>
      <c r="C41">
        <f t="shared" si="4"/>
        <v>1</v>
      </c>
      <c r="G41">
        <f t="shared" si="0"/>
        <v>0</v>
      </c>
    </row>
    <row r="42" spans="1:7">
      <c r="A42">
        <v>40</v>
      </c>
      <c r="B42">
        <f t="shared" si="3"/>
        <v>1</v>
      </c>
      <c r="C42">
        <f t="shared" si="4"/>
        <v>1</v>
      </c>
      <c r="G42">
        <f t="shared" si="0"/>
        <v>0</v>
      </c>
    </row>
    <row r="43" spans="1:7">
      <c r="A43">
        <v>41</v>
      </c>
      <c r="B43">
        <f t="shared" si="3"/>
        <v>1</v>
      </c>
      <c r="C43">
        <f t="shared" si="4"/>
        <v>1</v>
      </c>
      <c r="G43">
        <f t="shared" si="0"/>
        <v>0</v>
      </c>
    </row>
    <row r="44" spans="1:7">
      <c r="A44">
        <v>42</v>
      </c>
      <c r="B44">
        <f t="shared" si="3"/>
        <v>1</v>
      </c>
      <c r="C44">
        <f t="shared" si="4"/>
        <v>1</v>
      </c>
      <c r="G44">
        <f t="shared" si="0"/>
        <v>0</v>
      </c>
    </row>
    <row r="45" spans="1:7">
      <c r="A45">
        <v>43</v>
      </c>
      <c r="B45">
        <f t="shared" si="3"/>
        <v>1</v>
      </c>
      <c r="C45">
        <f t="shared" si="4"/>
        <v>1</v>
      </c>
      <c r="G45">
        <f t="shared" si="0"/>
        <v>0</v>
      </c>
    </row>
    <row r="46" spans="1:7">
      <c r="A46">
        <v>44</v>
      </c>
      <c r="B46">
        <f t="shared" si="3"/>
        <v>1</v>
      </c>
      <c r="C46">
        <f t="shared" si="4"/>
        <v>1</v>
      </c>
      <c r="G46">
        <f t="shared" si="0"/>
        <v>0</v>
      </c>
    </row>
    <row r="47" spans="1:7">
      <c r="A47">
        <v>45</v>
      </c>
      <c r="B47">
        <f t="shared" si="3"/>
        <v>1</v>
      </c>
      <c r="C47">
        <f t="shared" si="4"/>
        <v>1</v>
      </c>
      <c r="G47">
        <f t="shared" si="0"/>
        <v>0</v>
      </c>
    </row>
    <row r="48" spans="1:7">
      <c r="A48">
        <v>46</v>
      </c>
      <c r="B48">
        <f t="shared" si="3"/>
        <v>1</v>
      </c>
      <c r="C48">
        <f t="shared" si="4"/>
        <v>1</v>
      </c>
      <c r="G48">
        <f t="shared" si="0"/>
        <v>0</v>
      </c>
    </row>
    <row r="49" spans="1:7">
      <c r="A49">
        <v>47</v>
      </c>
      <c r="B49">
        <f t="shared" si="3"/>
        <v>1</v>
      </c>
      <c r="C49">
        <f t="shared" si="4"/>
        <v>1</v>
      </c>
      <c r="G49">
        <f t="shared" si="0"/>
        <v>0</v>
      </c>
    </row>
    <row r="50" spans="1:7">
      <c r="A50">
        <v>48</v>
      </c>
      <c r="B50">
        <f t="shared" si="3"/>
        <v>1</v>
      </c>
      <c r="C50">
        <f t="shared" si="4"/>
        <v>1</v>
      </c>
      <c r="G50">
        <f t="shared" si="0"/>
        <v>0</v>
      </c>
    </row>
    <row r="51" spans="1:7">
      <c r="A51">
        <v>49</v>
      </c>
      <c r="B51">
        <f t="shared" si="3"/>
        <v>1</v>
      </c>
      <c r="C51">
        <f t="shared" si="4"/>
        <v>1</v>
      </c>
      <c r="G51">
        <f t="shared" si="0"/>
        <v>0</v>
      </c>
    </row>
    <row r="52" spans="1:7">
      <c r="A52">
        <v>50</v>
      </c>
      <c r="B52">
        <f t="shared" si="3"/>
        <v>1</v>
      </c>
      <c r="C52">
        <f t="shared" si="4"/>
        <v>1</v>
      </c>
      <c r="G52">
        <f t="shared" si="0"/>
        <v>0</v>
      </c>
    </row>
    <row r="53" spans="1:7">
      <c r="A53">
        <v>51</v>
      </c>
      <c r="B53">
        <f t="shared" si="3"/>
        <v>1</v>
      </c>
      <c r="C53">
        <f t="shared" si="4"/>
        <v>1</v>
      </c>
      <c r="G53">
        <f t="shared" si="0"/>
        <v>0</v>
      </c>
    </row>
    <row r="54" spans="1:7">
      <c r="A54">
        <v>52</v>
      </c>
      <c r="B54">
        <f t="shared" si="3"/>
        <v>1</v>
      </c>
      <c r="C54">
        <f t="shared" si="4"/>
        <v>1</v>
      </c>
      <c r="G54">
        <f t="shared" si="0"/>
        <v>0</v>
      </c>
    </row>
    <row r="55" spans="1:7">
      <c r="A55">
        <v>53</v>
      </c>
      <c r="B55">
        <f t="shared" si="3"/>
        <v>1</v>
      </c>
      <c r="C55">
        <f t="shared" si="4"/>
        <v>1</v>
      </c>
      <c r="G55">
        <f t="shared" si="0"/>
        <v>0</v>
      </c>
    </row>
    <row r="56" spans="1:7">
      <c r="A56">
        <v>54</v>
      </c>
      <c r="B56">
        <f t="shared" si="3"/>
        <v>1</v>
      </c>
      <c r="C56">
        <f t="shared" si="4"/>
        <v>1</v>
      </c>
      <c r="G56">
        <f t="shared" si="0"/>
        <v>0</v>
      </c>
    </row>
    <row r="57" spans="1:7">
      <c r="A57">
        <v>55</v>
      </c>
      <c r="B57">
        <f t="shared" si="3"/>
        <v>1</v>
      </c>
      <c r="C57">
        <f t="shared" si="4"/>
        <v>1</v>
      </c>
      <c r="G57">
        <f t="shared" si="0"/>
        <v>0</v>
      </c>
    </row>
    <row r="58" spans="1:7">
      <c r="A58">
        <v>56</v>
      </c>
      <c r="B58">
        <f t="shared" si="3"/>
        <v>1</v>
      </c>
      <c r="C58">
        <f t="shared" si="4"/>
        <v>1</v>
      </c>
      <c r="G58">
        <f t="shared" si="0"/>
        <v>0</v>
      </c>
    </row>
    <row r="59" spans="1:7">
      <c r="A59">
        <v>57</v>
      </c>
      <c r="B59">
        <f t="shared" si="3"/>
        <v>1</v>
      </c>
      <c r="C59">
        <f t="shared" si="4"/>
        <v>1</v>
      </c>
      <c r="G59">
        <f t="shared" si="0"/>
        <v>0</v>
      </c>
    </row>
    <row r="60" spans="1:7">
      <c r="A60">
        <v>58</v>
      </c>
      <c r="B60">
        <f t="shared" si="3"/>
        <v>1</v>
      </c>
      <c r="C60">
        <f t="shared" si="4"/>
        <v>1</v>
      </c>
      <c r="G60">
        <f t="shared" si="0"/>
        <v>0</v>
      </c>
    </row>
    <row r="61" spans="1:7">
      <c r="A61">
        <v>59</v>
      </c>
      <c r="B61">
        <f t="shared" si="3"/>
        <v>1</v>
      </c>
      <c r="C61">
        <f t="shared" si="4"/>
        <v>1</v>
      </c>
      <c r="G61">
        <f t="shared" si="0"/>
        <v>0</v>
      </c>
    </row>
    <row r="62" spans="1:7">
      <c r="A62">
        <v>60</v>
      </c>
      <c r="B62">
        <f t="shared" si="3"/>
        <v>1</v>
      </c>
      <c r="C62">
        <f t="shared" si="4"/>
        <v>1</v>
      </c>
      <c r="G62">
        <f t="shared" si="0"/>
        <v>0</v>
      </c>
    </row>
    <row r="63" spans="1:7">
      <c r="A63">
        <v>61</v>
      </c>
      <c r="B63">
        <f t="shared" si="3"/>
        <v>1</v>
      </c>
      <c r="C63">
        <f t="shared" si="4"/>
        <v>1</v>
      </c>
      <c r="G63">
        <f t="shared" si="0"/>
        <v>0</v>
      </c>
    </row>
    <row r="64" spans="1:7">
      <c r="A64">
        <v>62</v>
      </c>
      <c r="B64">
        <f t="shared" si="3"/>
        <v>1</v>
      </c>
      <c r="C64">
        <f t="shared" si="4"/>
        <v>1</v>
      </c>
      <c r="G64">
        <f t="shared" si="0"/>
        <v>0</v>
      </c>
    </row>
    <row r="65" spans="1:7">
      <c r="A65">
        <v>63</v>
      </c>
      <c r="B65">
        <f t="shared" si="3"/>
        <v>1</v>
      </c>
      <c r="C65">
        <f t="shared" si="4"/>
        <v>1</v>
      </c>
      <c r="G65">
        <f t="shared" si="0"/>
        <v>0</v>
      </c>
    </row>
    <row r="66" spans="1:7">
      <c r="A66">
        <v>64</v>
      </c>
      <c r="B66">
        <f t="shared" si="3"/>
        <v>1</v>
      </c>
      <c r="C66">
        <f t="shared" si="4"/>
        <v>1</v>
      </c>
      <c r="G66">
        <f t="shared" si="0"/>
        <v>0</v>
      </c>
    </row>
    <row r="67" spans="1:7">
      <c r="A67">
        <v>65</v>
      </c>
      <c r="B67">
        <f t="shared" si="3"/>
        <v>1</v>
      </c>
      <c r="C67">
        <f t="shared" si="4"/>
        <v>1</v>
      </c>
      <c r="G67">
        <f t="shared" si="0"/>
        <v>0</v>
      </c>
    </row>
    <row r="68" spans="1:7">
      <c r="A68">
        <v>66</v>
      </c>
      <c r="B68">
        <f t="shared" si="3"/>
        <v>1</v>
      </c>
      <c r="C68">
        <f t="shared" si="4"/>
        <v>1</v>
      </c>
      <c r="G68">
        <f t="shared" ref="G68:G73" si="5">ABS(1-C68)</f>
        <v>0</v>
      </c>
    </row>
    <row r="69" spans="1:7">
      <c r="A69">
        <v>67</v>
      </c>
      <c r="B69">
        <f t="shared" si="3"/>
        <v>1</v>
      </c>
      <c r="C69">
        <f t="shared" si="4"/>
        <v>1</v>
      </c>
      <c r="G69">
        <f t="shared" si="5"/>
        <v>0</v>
      </c>
    </row>
    <row r="70" spans="1:7">
      <c r="A70">
        <v>68</v>
      </c>
      <c r="B70">
        <f t="shared" si="3"/>
        <v>1</v>
      </c>
      <c r="C70">
        <f t="shared" si="4"/>
        <v>1</v>
      </c>
      <c r="G70">
        <f t="shared" si="5"/>
        <v>0</v>
      </c>
    </row>
    <row r="71" spans="1:7">
      <c r="A71">
        <v>69</v>
      </c>
      <c r="B71">
        <f t="shared" si="3"/>
        <v>1</v>
      </c>
      <c r="C71">
        <f t="shared" si="4"/>
        <v>1</v>
      </c>
      <c r="G71">
        <f t="shared" si="5"/>
        <v>0</v>
      </c>
    </row>
    <row r="72" spans="1:7">
      <c r="A72">
        <v>70</v>
      </c>
      <c r="B72">
        <f t="shared" si="3"/>
        <v>1</v>
      </c>
      <c r="C72">
        <f t="shared" si="4"/>
        <v>1</v>
      </c>
      <c r="G72">
        <f t="shared" si="5"/>
        <v>0</v>
      </c>
    </row>
    <row r="73" spans="1:7">
      <c r="G73">
        <f t="shared" si="5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39D41-D250-439F-8F66-2520DFBDC14D}">
  <dimension ref="A1:M49"/>
  <sheetViews>
    <sheetView zoomScaleNormal="100" workbookViewId="0">
      <selection activeCell="F4" sqref="F4"/>
    </sheetView>
  </sheetViews>
  <sheetFormatPr defaultRowHeight="15"/>
  <cols>
    <col min="2" max="2" width="20.7109375" customWidth="1"/>
    <col min="3" max="3" width="18.85546875" customWidth="1"/>
    <col min="4" max="4" width="17" customWidth="1"/>
    <col min="5" max="5" width="20" customWidth="1"/>
    <col min="6" max="6" width="21.7109375" customWidth="1"/>
    <col min="7" max="7" width="19.85546875" customWidth="1"/>
    <col min="10" max="10" width="9" customWidth="1"/>
    <col min="11" max="11" width="8.7109375" customWidth="1"/>
    <col min="12" max="12" width="10.5703125" customWidth="1"/>
    <col min="13" max="13" width="10.140625" customWidth="1"/>
  </cols>
  <sheetData>
    <row r="1" spans="1:13">
      <c r="A1" t="s">
        <v>21</v>
      </c>
      <c r="F1" t="s">
        <v>22</v>
      </c>
      <c r="J1" t="s">
        <v>21</v>
      </c>
      <c r="L1" t="s">
        <v>23</v>
      </c>
    </row>
    <row r="2" spans="1:13">
      <c r="A2">
        <v>0.5</v>
      </c>
      <c r="B2">
        <v>2</v>
      </c>
      <c r="E2" t="s">
        <v>24</v>
      </c>
      <c r="J2" t="s">
        <v>25</v>
      </c>
    </row>
    <row r="3" spans="1:13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19</v>
      </c>
      <c r="G3" t="s">
        <v>30</v>
      </c>
      <c r="H3" t="s">
        <v>31</v>
      </c>
      <c r="J3" t="s">
        <v>14</v>
      </c>
      <c r="K3" t="s">
        <v>32</v>
      </c>
      <c r="L3" t="s">
        <v>33</v>
      </c>
      <c r="M3" t="s">
        <v>34</v>
      </c>
    </row>
    <row r="4" spans="1:13">
      <c r="A4">
        <v>1</v>
      </c>
      <c r="B4">
        <v>2</v>
      </c>
      <c r="C4">
        <f>B4^3-1</f>
        <v>7</v>
      </c>
      <c r="D4">
        <f>3*(B4^2)</f>
        <v>12</v>
      </c>
      <c r="E4">
        <f>(D4*B4-C4)/D4</f>
        <v>1.4166666666666667</v>
      </c>
      <c r="F4">
        <f>ABS(1-E4)</f>
        <v>0.41666666666666674</v>
      </c>
      <c r="G4" t="s">
        <v>35</v>
      </c>
      <c r="H4">
        <f>IF(A4*B4,1,0)</f>
        <v>1</v>
      </c>
      <c r="J4">
        <v>0.5</v>
      </c>
      <c r="K4">
        <f>J4^3-1</f>
        <v>-0.875</v>
      </c>
      <c r="L4">
        <f>3*(J4^2)</f>
        <v>0.75</v>
      </c>
      <c r="M4">
        <f>6*J4</f>
        <v>3</v>
      </c>
    </row>
    <row r="5" spans="1:13">
      <c r="A5">
        <v>2</v>
      </c>
      <c r="B5">
        <f>E4</f>
        <v>1.4166666666666667</v>
      </c>
      <c r="C5">
        <f>B5^3-B5</f>
        <v>1.42650462962963</v>
      </c>
      <c r="D5">
        <f>3*(B5^2)-B5</f>
        <v>4.604166666666667</v>
      </c>
      <c r="E5">
        <f>(D5*B5-C5)/D5</f>
        <v>1.1068376068376069</v>
      </c>
      <c r="F5">
        <f t="shared" ref="F5:F22" si="0">ABS(1-E5)</f>
        <v>0.1068376068376069</v>
      </c>
      <c r="J5">
        <v>0.55000000000000004</v>
      </c>
      <c r="K5">
        <f t="shared" ref="K5:K34" si="1">J5^3-1</f>
        <v>-0.83362499999999995</v>
      </c>
      <c r="L5">
        <f t="shared" ref="L5:L34" si="2">3*(J5^2)</f>
        <v>0.9075000000000002</v>
      </c>
      <c r="M5">
        <f t="shared" ref="M5:M34" si="3">6*J5</f>
        <v>3.3000000000000003</v>
      </c>
    </row>
    <row r="6" spans="1:13">
      <c r="A6">
        <v>3</v>
      </c>
      <c r="B6">
        <f t="shared" ref="B6:B11" si="4">E5</f>
        <v>1.1068376068376069</v>
      </c>
      <c r="C6">
        <f t="shared" ref="C6:C11" si="5">B6^3-B6</f>
        <v>0.24913751012260787</v>
      </c>
      <c r="D6">
        <f t="shared" ref="D6:D11" si="6">3*(B6^2)-B6</f>
        <v>2.5684308568923959</v>
      </c>
      <c r="E6">
        <f t="shared" ref="E6:E11" si="7">(D6*B6-C6)/D6</f>
        <v>1.0098377170200374</v>
      </c>
      <c r="F6">
        <f t="shared" si="0"/>
        <v>9.8377170200374398E-3</v>
      </c>
      <c r="J6">
        <v>0.6</v>
      </c>
      <c r="K6">
        <f t="shared" si="1"/>
        <v>-0.78400000000000003</v>
      </c>
      <c r="L6">
        <f t="shared" si="2"/>
        <v>1.08</v>
      </c>
      <c r="M6">
        <f t="shared" si="3"/>
        <v>3.5999999999999996</v>
      </c>
    </row>
    <row r="7" spans="1:13">
      <c r="A7">
        <v>4</v>
      </c>
      <c r="B7">
        <f t="shared" si="4"/>
        <v>1.0098377170200374</v>
      </c>
      <c r="C7">
        <f t="shared" si="5"/>
        <v>1.9966728169478865E-2</v>
      </c>
      <c r="D7">
        <f t="shared" si="6"/>
        <v>2.0494789271286864</v>
      </c>
      <c r="E7">
        <f t="shared" si="7"/>
        <v>1.0000953732929654</v>
      </c>
      <c r="F7">
        <f t="shared" si="0"/>
        <v>9.5373292965383882E-5</v>
      </c>
      <c r="J7">
        <v>0.65</v>
      </c>
      <c r="K7">
        <f t="shared" si="1"/>
        <v>-0.72537499999999988</v>
      </c>
      <c r="L7">
        <f t="shared" si="2"/>
        <v>1.2675000000000001</v>
      </c>
      <c r="M7">
        <f t="shared" si="3"/>
        <v>3.9000000000000004</v>
      </c>
    </row>
    <row r="8" spans="1:13">
      <c r="A8">
        <v>5</v>
      </c>
      <c r="B8">
        <f t="shared" si="4"/>
        <v>1.0000953732929654</v>
      </c>
      <c r="C8">
        <f t="shared" si="5"/>
        <v>1.9077387499333298E-4</v>
      </c>
      <c r="D8">
        <f t="shared" si="6"/>
        <v>2.0004768937530217</v>
      </c>
      <c r="E8">
        <f t="shared" si="7"/>
        <v>1.0000000090947638</v>
      </c>
      <c r="F8">
        <f t="shared" si="0"/>
        <v>9.0947638309302192E-9</v>
      </c>
      <c r="G8">
        <v>1.4166666666666701</v>
      </c>
      <c r="J8">
        <v>0.7</v>
      </c>
      <c r="K8">
        <f t="shared" si="1"/>
        <v>-0.65700000000000003</v>
      </c>
      <c r="L8">
        <f t="shared" si="2"/>
        <v>1.4699999999999998</v>
      </c>
      <c r="M8">
        <f t="shared" si="3"/>
        <v>4.1999999999999993</v>
      </c>
    </row>
    <row r="9" spans="1:13">
      <c r="A9">
        <v>6</v>
      </c>
      <c r="B9">
        <f t="shared" si="4"/>
        <v>1.0000000090947638</v>
      </c>
      <c r="C9">
        <f t="shared" si="5"/>
        <v>1.8189527883905043E-8</v>
      </c>
      <c r="D9">
        <f t="shared" si="6"/>
        <v>2.0000000454738194</v>
      </c>
      <c r="E9">
        <f t="shared" si="7"/>
        <v>1</v>
      </c>
      <c r="F9">
        <f t="shared" si="0"/>
        <v>0</v>
      </c>
      <c r="J9">
        <v>0.75</v>
      </c>
      <c r="K9">
        <f t="shared" si="1"/>
        <v>-0.578125</v>
      </c>
      <c r="L9">
        <f t="shared" si="2"/>
        <v>1.6875</v>
      </c>
      <c r="M9">
        <f t="shared" si="3"/>
        <v>4.5</v>
      </c>
    </row>
    <row r="10" spans="1:13">
      <c r="A10">
        <v>7</v>
      </c>
      <c r="B10">
        <f t="shared" si="4"/>
        <v>1</v>
      </c>
      <c r="C10">
        <f t="shared" si="5"/>
        <v>0</v>
      </c>
      <c r="D10">
        <f t="shared" si="6"/>
        <v>2</v>
      </c>
      <c r="E10">
        <f t="shared" si="7"/>
        <v>1</v>
      </c>
      <c r="F10">
        <f t="shared" si="0"/>
        <v>0</v>
      </c>
      <c r="J10">
        <v>0.8</v>
      </c>
      <c r="K10">
        <f t="shared" si="1"/>
        <v>-0.48799999999999988</v>
      </c>
      <c r="L10">
        <f t="shared" si="2"/>
        <v>1.9200000000000004</v>
      </c>
      <c r="M10">
        <f t="shared" si="3"/>
        <v>4.8000000000000007</v>
      </c>
    </row>
    <row r="11" spans="1:13">
      <c r="A11">
        <v>8</v>
      </c>
      <c r="B11">
        <f t="shared" si="4"/>
        <v>1</v>
      </c>
      <c r="C11">
        <f t="shared" si="5"/>
        <v>0</v>
      </c>
      <c r="D11">
        <f t="shared" si="6"/>
        <v>2</v>
      </c>
      <c r="E11">
        <f t="shared" si="7"/>
        <v>1</v>
      </c>
      <c r="F11">
        <f t="shared" si="0"/>
        <v>0</v>
      </c>
      <c r="J11">
        <v>0.85</v>
      </c>
      <c r="K11">
        <f t="shared" si="1"/>
        <v>-0.38587500000000008</v>
      </c>
      <c r="L11">
        <f t="shared" si="2"/>
        <v>2.1674999999999995</v>
      </c>
      <c r="M11">
        <f t="shared" si="3"/>
        <v>5.0999999999999996</v>
      </c>
    </row>
    <row r="12" spans="1:13">
      <c r="A12">
        <v>9</v>
      </c>
      <c r="B12">
        <f t="shared" ref="B12:B22" si="8">E11</f>
        <v>1</v>
      </c>
      <c r="C12">
        <f t="shared" ref="C12:C22" si="9">B12^3-B12</f>
        <v>0</v>
      </c>
      <c r="D12">
        <f t="shared" ref="D12:D22" si="10">3*(B12^2)-B12</f>
        <v>2</v>
      </c>
      <c r="E12">
        <f t="shared" ref="E12:E22" si="11">(D12*B12-C12)/D12</f>
        <v>1</v>
      </c>
      <c r="F12">
        <f t="shared" si="0"/>
        <v>0</v>
      </c>
      <c r="J12">
        <v>0.9</v>
      </c>
      <c r="K12">
        <f t="shared" si="1"/>
        <v>-0.27099999999999991</v>
      </c>
      <c r="L12">
        <f t="shared" si="2"/>
        <v>2.4300000000000002</v>
      </c>
      <c r="M12">
        <f t="shared" si="3"/>
        <v>5.4</v>
      </c>
    </row>
    <row r="13" spans="1:13">
      <c r="A13">
        <v>10</v>
      </c>
      <c r="B13">
        <f t="shared" si="8"/>
        <v>1</v>
      </c>
      <c r="C13">
        <f t="shared" si="9"/>
        <v>0</v>
      </c>
      <c r="D13">
        <f t="shared" si="10"/>
        <v>2</v>
      </c>
      <c r="E13">
        <f t="shared" si="11"/>
        <v>1</v>
      </c>
      <c r="F13">
        <f t="shared" si="0"/>
        <v>0</v>
      </c>
      <c r="J13">
        <v>0.95</v>
      </c>
      <c r="K13">
        <f t="shared" si="1"/>
        <v>-0.14262500000000011</v>
      </c>
      <c r="L13">
        <f t="shared" si="2"/>
        <v>2.7075</v>
      </c>
      <c r="M13">
        <f t="shared" si="3"/>
        <v>5.6999999999999993</v>
      </c>
    </row>
    <row r="14" spans="1:13">
      <c r="A14">
        <v>11</v>
      </c>
      <c r="B14">
        <f t="shared" si="8"/>
        <v>1</v>
      </c>
      <c r="C14">
        <f t="shared" si="9"/>
        <v>0</v>
      </c>
      <c r="D14">
        <f t="shared" si="10"/>
        <v>2</v>
      </c>
      <c r="E14">
        <f t="shared" si="11"/>
        <v>1</v>
      </c>
      <c r="F14">
        <f t="shared" si="0"/>
        <v>0</v>
      </c>
      <c r="J14">
        <v>1</v>
      </c>
      <c r="K14">
        <f t="shared" si="1"/>
        <v>0</v>
      </c>
      <c r="L14">
        <f t="shared" si="2"/>
        <v>3</v>
      </c>
      <c r="M14">
        <f t="shared" si="3"/>
        <v>6</v>
      </c>
    </row>
    <row r="15" spans="1:13">
      <c r="A15">
        <v>12</v>
      </c>
      <c r="B15">
        <f t="shared" si="8"/>
        <v>1</v>
      </c>
      <c r="C15">
        <f t="shared" si="9"/>
        <v>0</v>
      </c>
      <c r="D15">
        <f t="shared" si="10"/>
        <v>2</v>
      </c>
      <c r="E15">
        <f t="shared" si="11"/>
        <v>1</v>
      </c>
      <c r="F15">
        <f t="shared" si="0"/>
        <v>0</v>
      </c>
      <c r="J15">
        <v>1.05</v>
      </c>
      <c r="K15">
        <f t="shared" si="1"/>
        <v>0.15762500000000013</v>
      </c>
      <c r="L15">
        <f t="shared" si="2"/>
        <v>3.3075000000000001</v>
      </c>
      <c r="M15">
        <f t="shared" si="3"/>
        <v>6.3000000000000007</v>
      </c>
    </row>
    <row r="16" spans="1:13">
      <c r="A16">
        <v>13</v>
      </c>
      <c r="B16">
        <f t="shared" si="8"/>
        <v>1</v>
      </c>
      <c r="C16">
        <f t="shared" si="9"/>
        <v>0</v>
      </c>
      <c r="D16">
        <f t="shared" si="10"/>
        <v>2</v>
      </c>
      <c r="E16">
        <f t="shared" si="11"/>
        <v>1</v>
      </c>
      <c r="F16">
        <f t="shared" si="0"/>
        <v>0</v>
      </c>
      <c r="J16">
        <v>1.1000000000000001</v>
      </c>
      <c r="K16">
        <f t="shared" si="1"/>
        <v>0.33100000000000041</v>
      </c>
      <c r="L16">
        <f t="shared" si="2"/>
        <v>3.6300000000000008</v>
      </c>
      <c r="M16">
        <f t="shared" si="3"/>
        <v>6.6000000000000005</v>
      </c>
    </row>
    <row r="17" spans="1:13">
      <c r="A17">
        <v>14</v>
      </c>
      <c r="B17">
        <f t="shared" si="8"/>
        <v>1</v>
      </c>
      <c r="C17">
        <f t="shared" si="9"/>
        <v>0</v>
      </c>
      <c r="D17">
        <f t="shared" si="10"/>
        <v>2</v>
      </c>
      <c r="E17">
        <f t="shared" si="11"/>
        <v>1</v>
      </c>
      <c r="F17">
        <f t="shared" si="0"/>
        <v>0</v>
      </c>
      <c r="J17">
        <v>1.1499999999999999</v>
      </c>
      <c r="K17">
        <f t="shared" si="1"/>
        <v>0.52087499999999953</v>
      </c>
      <c r="L17">
        <f t="shared" si="2"/>
        <v>3.9674999999999994</v>
      </c>
      <c r="M17">
        <f t="shared" si="3"/>
        <v>6.8999999999999995</v>
      </c>
    </row>
    <row r="18" spans="1:13">
      <c r="A18">
        <v>15</v>
      </c>
      <c r="B18">
        <f t="shared" si="8"/>
        <v>1</v>
      </c>
      <c r="C18">
        <f t="shared" si="9"/>
        <v>0</v>
      </c>
      <c r="D18">
        <f t="shared" si="10"/>
        <v>2</v>
      </c>
      <c r="E18">
        <f t="shared" si="11"/>
        <v>1</v>
      </c>
      <c r="F18">
        <f t="shared" si="0"/>
        <v>0</v>
      </c>
      <c r="J18">
        <v>1.2</v>
      </c>
      <c r="K18">
        <f t="shared" si="1"/>
        <v>0.72799999999999998</v>
      </c>
      <c r="L18">
        <f t="shared" si="2"/>
        <v>4.32</v>
      </c>
      <c r="M18">
        <f t="shared" si="3"/>
        <v>7.1999999999999993</v>
      </c>
    </row>
    <row r="19" spans="1:13">
      <c r="A19">
        <v>16</v>
      </c>
      <c r="B19">
        <f t="shared" si="8"/>
        <v>1</v>
      </c>
      <c r="C19">
        <f t="shared" si="9"/>
        <v>0</v>
      </c>
      <c r="D19">
        <f t="shared" si="10"/>
        <v>2</v>
      </c>
      <c r="E19">
        <f t="shared" si="11"/>
        <v>1</v>
      </c>
      <c r="F19">
        <f t="shared" si="0"/>
        <v>0</v>
      </c>
      <c r="J19">
        <v>1.25</v>
      </c>
      <c r="K19">
        <f t="shared" si="1"/>
        <v>0.953125</v>
      </c>
      <c r="L19">
        <f t="shared" si="2"/>
        <v>4.6875</v>
      </c>
      <c r="M19">
        <f t="shared" si="3"/>
        <v>7.5</v>
      </c>
    </row>
    <row r="20" spans="1:13">
      <c r="A20">
        <v>17</v>
      </c>
      <c r="B20">
        <f t="shared" si="8"/>
        <v>1</v>
      </c>
      <c r="C20">
        <f t="shared" si="9"/>
        <v>0</v>
      </c>
      <c r="D20">
        <f t="shared" si="10"/>
        <v>2</v>
      </c>
      <c r="E20">
        <f t="shared" si="11"/>
        <v>1</v>
      </c>
      <c r="F20">
        <f t="shared" si="0"/>
        <v>0</v>
      </c>
      <c r="J20">
        <v>1.3</v>
      </c>
      <c r="K20">
        <f t="shared" si="1"/>
        <v>1.1970000000000005</v>
      </c>
      <c r="L20">
        <f t="shared" si="2"/>
        <v>5.07</v>
      </c>
      <c r="M20">
        <f t="shared" si="3"/>
        <v>7.8000000000000007</v>
      </c>
    </row>
    <row r="21" spans="1:13">
      <c r="A21">
        <v>18</v>
      </c>
      <c r="B21">
        <f t="shared" si="8"/>
        <v>1</v>
      </c>
      <c r="C21">
        <f t="shared" si="9"/>
        <v>0</v>
      </c>
      <c r="D21">
        <f t="shared" si="10"/>
        <v>2</v>
      </c>
      <c r="E21">
        <f t="shared" si="11"/>
        <v>1</v>
      </c>
      <c r="F21">
        <f t="shared" si="0"/>
        <v>0</v>
      </c>
      <c r="J21">
        <v>1.35</v>
      </c>
      <c r="K21">
        <f t="shared" si="1"/>
        <v>1.4603750000000004</v>
      </c>
      <c r="L21">
        <f t="shared" si="2"/>
        <v>5.4675000000000011</v>
      </c>
      <c r="M21">
        <f t="shared" si="3"/>
        <v>8.1000000000000014</v>
      </c>
    </row>
    <row r="22" spans="1:13">
      <c r="A22">
        <v>19</v>
      </c>
      <c r="B22">
        <f t="shared" si="8"/>
        <v>1</v>
      </c>
      <c r="C22">
        <f t="shared" si="9"/>
        <v>0</v>
      </c>
      <c r="D22">
        <f t="shared" si="10"/>
        <v>2</v>
      </c>
      <c r="E22">
        <f t="shared" si="11"/>
        <v>1</v>
      </c>
      <c r="F22">
        <f t="shared" si="0"/>
        <v>0</v>
      </c>
      <c r="J22">
        <v>1.4</v>
      </c>
      <c r="K22">
        <f t="shared" si="1"/>
        <v>1.7439999999999993</v>
      </c>
      <c r="L22">
        <f t="shared" si="2"/>
        <v>5.879999999999999</v>
      </c>
      <c r="M22">
        <f t="shared" si="3"/>
        <v>8.3999999999999986</v>
      </c>
    </row>
    <row r="23" spans="1:13">
      <c r="A23">
        <v>20</v>
      </c>
      <c r="J23">
        <v>1.45</v>
      </c>
      <c r="K23">
        <f t="shared" si="1"/>
        <v>2.0486249999999999</v>
      </c>
      <c r="L23">
        <f t="shared" si="2"/>
        <v>6.3075000000000001</v>
      </c>
      <c r="M23">
        <f t="shared" si="3"/>
        <v>8.6999999999999993</v>
      </c>
    </row>
    <row r="24" spans="1:13">
      <c r="A24">
        <v>21</v>
      </c>
      <c r="J24">
        <v>1.5</v>
      </c>
      <c r="K24">
        <f t="shared" si="1"/>
        <v>2.375</v>
      </c>
      <c r="L24">
        <f t="shared" si="2"/>
        <v>6.75</v>
      </c>
      <c r="M24">
        <f t="shared" si="3"/>
        <v>9</v>
      </c>
    </row>
    <row r="25" spans="1:13">
      <c r="A25">
        <v>22</v>
      </c>
      <c r="J25">
        <v>1.55</v>
      </c>
      <c r="K25">
        <f t="shared" si="1"/>
        <v>2.7238750000000005</v>
      </c>
      <c r="L25">
        <f t="shared" si="2"/>
        <v>7.2075000000000014</v>
      </c>
      <c r="M25">
        <f t="shared" si="3"/>
        <v>9.3000000000000007</v>
      </c>
    </row>
    <row r="26" spans="1:13">
      <c r="A26">
        <v>23</v>
      </c>
      <c r="J26">
        <v>1.6</v>
      </c>
      <c r="K26">
        <f t="shared" si="1"/>
        <v>3.096000000000001</v>
      </c>
      <c r="L26">
        <f t="shared" si="2"/>
        <v>7.6800000000000015</v>
      </c>
      <c r="M26">
        <f t="shared" si="3"/>
        <v>9.6000000000000014</v>
      </c>
    </row>
    <row r="27" spans="1:13">
      <c r="A27">
        <v>24</v>
      </c>
      <c r="J27">
        <v>1.65</v>
      </c>
      <c r="K27">
        <f t="shared" si="1"/>
        <v>3.4921249999999997</v>
      </c>
      <c r="L27">
        <f t="shared" si="2"/>
        <v>8.1674999999999986</v>
      </c>
      <c r="M27">
        <f t="shared" si="3"/>
        <v>9.8999999999999986</v>
      </c>
    </row>
    <row r="28" spans="1:13">
      <c r="A28">
        <v>25</v>
      </c>
      <c r="J28">
        <v>1.7</v>
      </c>
      <c r="K28">
        <f t="shared" si="1"/>
        <v>3.9129999999999994</v>
      </c>
      <c r="L28">
        <f t="shared" si="2"/>
        <v>8.6699999999999982</v>
      </c>
      <c r="M28">
        <f t="shared" si="3"/>
        <v>10.199999999999999</v>
      </c>
    </row>
    <row r="29" spans="1:13">
      <c r="A29">
        <v>26</v>
      </c>
      <c r="J29">
        <v>1.75</v>
      </c>
      <c r="K29">
        <f t="shared" si="1"/>
        <v>4.359375</v>
      </c>
      <c r="L29">
        <f t="shared" si="2"/>
        <v>9.1875</v>
      </c>
      <c r="M29">
        <f t="shared" si="3"/>
        <v>10.5</v>
      </c>
    </row>
    <row r="30" spans="1:13">
      <c r="A30">
        <v>27</v>
      </c>
      <c r="J30">
        <v>1.8</v>
      </c>
      <c r="K30">
        <f t="shared" si="1"/>
        <v>4.8320000000000007</v>
      </c>
      <c r="L30">
        <f t="shared" si="2"/>
        <v>9.7200000000000006</v>
      </c>
      <c r="M30">
        <f t="shared" si="3"/>
        <v>10.8</v>
      </c>
    </row>
    <row r="31" spans="1:13">
      <c r="A31">
        <v>28</v>
      </c>
      <c r="J31">
        <v>1.85</v>
      </c>
      <c r="K31">
        <f t="shared" si="1"/>
        <v>5.3316250000000007</v>
      </c>
      <c r="L31">
        <f t="shared" si="2"/>
        <v>10.267500000000002</v>
      </c>
      <c r="M31">
        <f t="shared" si="3"/>
        <v>11.100000000000001</v>
      </c>
    </row>
    <row r="32" spans="1:13">
      <c r="A32">
        <v>29</v>
      </c>
      <c r="J32">
        <v>1.9</v>
      </c>
      <c r="K32">
        <f t="shared" si="1"/>
        <v>5.8589999999999991</v>
      </c>
      <c r="L32">
        <f t="shared" si="2"/>
        <v>10.83</v>
      </c>
      <c r="M32">
        <f t="shared" si="3"/>
        <v>11.399999999999999</v>
      </c>
    </row>
    <row r="33" spans="1:13">
      <c r="A33">
        <v>30</v>
      </c>
      <c r="J33">
        <v>1.95</v>
      </c>
      <c r="K33">
        <f t="shared" si="1"/>
        <v>6.4148749999999994</v>
      </c>
      <c r="L33">
        <f t="shared" si="2"/>
        <v>11.407499999999999</v>
      </c>
      <c r="M33">
        <f t="shared" si="3"/>
        <v>11.7</v>
      </c>
    </row>
    <row r="34" spans="1:13">
      <c r="A34">
        <v>31</v>
      </c>
      <c r="J34">
        <v>2</v>
      </c>
      <c r="K34">
        <f t="shared" si="1"/>
        <v>7</v>
      </c>
      <c r="L34">
        <f t="shared" si="2"/>
        <v>12</v>
      </c>
      <c r="M34">
        <f t="shared" si="3"/>
        <v>12</v>
      </c>
    </row>
    <row r="35" spans="1:13">
      <c r="A35">
        <v>32</v>
      </c>
    </row>
    <row r="36" spans="1:13">
      <c r="A36">
        <v>33</v>
      </c>
      <c r="H36" t="s">
        <v>36</v>
      </c>
    </row>
    <row r="37" spans="1:13">
      <c r="A37">
        <v>34</v>
      </c>
      <c r="H37" t="s">
        <v>27</v>
      </c>
    </row>
    <row r="38" spans="1:13">
      <c r="A38">
        <v>35</v>
      </c>
      <c r="H38" t="s">
        <v>14</v>
      </c>
      <c r="I38" t="s">
        <v>15</v>
      </c>
      <c r="J38" t="s">
        <v>37</v>
      </c>
    </row>
    <row r="39" spans="1:13">
      <c r="A39">
        <v>36</v>
      </c>
      <c r="H39">
        <v>1</v>
      </c>
      <c r="I39">
        <f>12*(H39-2)+7</f>
        <v>-5</v>
      </c>
    </row>
    <row r="40" spans="1:13">
      <c r="A40">
        <v>37</v>
      </c>
      <c r="H40">
        <f>H39+0.1</f>
        <v>1.1000000000000001</v>
      </c>
      <c r="I40">
        <f t="shared" ref="I40:I49" si="12">12*(H40-2)+7</f>
        <v>-3.7999999999999989</v>
      </c>
    </row>
    <row r="41" spans="1:13">
      <c r="A41">
        <v>38</v>
      </c>
      <c r="H41">
        <f t="shared" ref="H41:H49" si="13">H40+0.1</f>
        <v>1.2000000000000002</v>
      </c>
      <c r="I41">
        <f t="shared" si="12"/>
        <v>-2.5999999999999979</v>
      </c>
    </row>
    <row r="42" spans="1:13">
      <c r="A42">
        <v>39</v>
      </c>
      <c r="H42">
        <f t="shared" si="13"/>
        <v>1.3000000000000003</v>
      </c>
      <c r="I42">
        <f t="shared" si="12"/>
        <v>-1.3999999999999968</v>
      </c>
    </row>
    <row r="43" spans="1:13">
      <c r="A43">
        <v>40</v>
      </c>
      <c r="H43">
        <f t="shared" si="13"/>
        <v>1.4000000000000004</v>
      </c>
      <c r="I43">
        <f t="shared" si="12"/>
        <v>-0.19999999999999574</v>
      </c>
    </row>
    <row r="44" spans="1:13">
      <c r="A44">
        <v>41</v>
      </c>
      <c r="H44">
        <f t="shared" si="13"/>
        <v>1.5000000000000004</v>
      </c>
      <c r="I44">
        <f t="shared" si="12"/>
        <v>1.0000000000000053</v>
      </c>
    </row>
    <row r="45" spans="1:13">
      <c r="A45">
        <v>42</v>
      </c>
      <c r="H45">
        <f t="shared" si="13"/>
        <v>1.6000000000000005</v>
      </c>
      <c r="I45">
        <f t="shared" si="12"/>
        <v>2.2000000000000064</v>
      </c>
    </row>
    <row r="46" spans="1:13">
      <c r="A46">
        <v>43</v>
      </c>
      <c r="H46">
        <f t="shared" si="13"/>
        <v>1.7000000000000006</v>
      </c>
      <c r="I46">
        <f t="shared" si="12"/>
        <v>3.4000000000000075</v>
      </c>
    </row>
    <row r="47" spans="1:13">
      <c r="H47">
        <f t="shared" si="13"/>
        <v>1.8000000000000007</v>
      </c>
      <c r="I47">
        <f t="shared" si="12"/>
        <v>4.6000000000000085</v>
      </c>
    </row>
    <row r="48" spans="1:13">
      <c r="H48">
        <f>H47+0.1</f>
        <v>1.9000000000000008</v>
      </c>
      <c r="I48">
        <f t="shared" si="12"/>
        <v>5.8000000000000096</v>
      </c>
    </row>
    <row r="49" spans="8:9">
      <c r="H49">
        <f t="shared" si="13"/>
        <v>2.0000000000000009</v>
      </c>
      <c r="I49">
        <f t="shared" si="12"/>
        <v>7.0000000000000107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4BF1C-7688-4BB6-81C7-2C8C94F3EEFB}">
  <dimension ref="A1:E91"/>
  <sheetViews>
    <sheetView workbookViewId="0">
      <selection activeCell="D24" sqref="D24"/>
    </sheetView>
  </sheetViews>
  <sheetFormatPr defaultRowHeight="15"/>
  <cols>
    <col min="2" max="2" width="21.5703125" customWidth="1"/>
    <col min="3" max="5" width="24.42578125" customWidth="1"/>
  </cols>
  <sheetData>
    <row r="1" spans="1:5">
      <c r="B1" t="s">
        <v>38</v>
      </c>
      <c r="C1" t="s">
        <v>39</v>
      </c>
      <c r="D1" t="s">
        <v>40</v>
      </c>
      <c r="E1" t="s">
        <v>41</v>
      </c>
    </row>
    <row r="2" spans="1:5">
      <c r="A2">
        <v>1</v>
      </c>
      <c r="B2">
        <v>0.5</v>
      </c>
      <c r="C2">
        <v>0.25</v>
      </c>
      <c r="D2">
        <v>0.14471424255333187</v>
      </c>
      <c r="E2">
        <v>0.41666666666666674</v>
      </c>
    </row>
    <row r="3" spans="1:5">
      <c r="A3">
        <v>2</v>
      </c>
      <c r="B3">
        <v>0.41176470588235292</v>
      </c>
      <c r="C3">
        <v>0.125</v>
      </c>
      <c r="D3">
        <v>4.6081918643214648E-2</v>
      </c>
      <c r="E3">
        <v>0.1068376068376069</v>
      </c>
    </row>
    <row r="4" spans="1:5">
      <c r="A4">
        <v>3</v>
      </c>
      <c r="B4">
        <v>0.32670237184391737</v>
      </c>
      <c r="C4">
        <v>6.25E-2</v>
      </c>
      <c r="D4">
        <v>1.5130551333631947E-2</v>
      </c>
      <c r="E4">
        <v>9.8377170200374398E-3</v>
      </c>
    </row>
    <row r="5" spans="1:5">
      <c r="A5">
        <v>4</v>
      </c>
      <c r="B5">
        <v>0.25001954395328374</v>
      </c>
      <c r="C5">
        <v>3.125E-2</v>
      </c>
      <c r="D5">
        <v>5.0182917336516475E-3</v>
      </c>
      <c r="E5">
        <v>9.5373292965383882E-5</v>
      </c>
    </row>
    <row r="6" spans="1:5">
      <c r="A6">
        <v>5</v>
      </c>
      <c r="B6">
        <v>0.18520119937903157</v>
      </c>
      <c r="C6">
        <v>1.5625E-2</v>
      </c>
      <c r="D6">
        <v>1.6699735471550348E-3</v>
      </c>
      <c r="E6">
        <v>9.0947638309302192E-9</v>
      </c>
    </row>
    <row r="7" spans="1:5">
      <c r="A7">
        <v>6</v>
      </c>
      <c r="B7">
        <v>0.13346670868209043</v>
      </c>
      <c r="C7">
        <v>7.8125E-3</v>
      </c>
      <c r="D7">
        <v>5.5634826825512462E-4</v>
      </c>
      <c r="E7" s="1">
        <v>0</v>
      </c>
    </row>
    <row r="8" spans="1:5">
      <c r="A8">
        <v>7</v>
      </c>
      <c r="B8">
        <v>9.4102571898701526E-2</v>
      </c>
      <c r="C8">
        <v>3.90625E-3</v>
      </c>
      <c r="D8">
        <v>1.854150418891809E-4</v>
      </c>
      <c r="E8">
        <v>0</v>
      </c>
    </row>
    <row r="9" spans="1:5">
      <c r="A9">
        <v>8</v>
      </c>
      <c r="B9">
        <v>6.5256738971511852E-2</v>
      </c>
      <c r="C9">
        <v>1.953125E-3</v>
      </c>
      <c r="D9">
        <v>6.1801194496835521E-5</v>
      </c>
      <c r="E9">
        <v>0</v>
      </c>
    </row>
    <row r="10" spans="1:5">
      <c r="A10">
        <v>9</v>
      </c>
      <c r="B10">
        <v>4.4708021002898723E-2</v>
      </c>
      <c r="C10">
        <v>9.765625E-4</v>
      </c>
      <c r="D10">
        <v>2.05999738038809E-5</v>
      </c>
      <c r="E10">
        <v>0</v>
      </c>
    </row>
    <row r="11" spans="1:5">
      <c r="A11">
        <v>10</v>
      </c>
      <c r="B11">
        <v>3.0367201434778446E-2</v>
      </c>
      <c r="C11">
        <v>4.8828125E-4</v>
      </c>
      <c r="D11">
        <v>6.8666107841952595E-6</v>
      </c>
      <c r="E11">
        <v>0</v>
      </c>
    </row>
    <row r="12" spans="1:5">
      <c r="A12">
        <v>11</v>
      </c>
      <c r="B12">
        <v>2.050303513111984E-2</v>
      </c>
      <c r="C12">
        <v>2.44140625E-4</v>
      </c>
      <c r="D12">
        <v>2.2888650224039964E-6</v>
      </c>
      <c r="E12">
        <v>0</v>
      </c>
    </row>
    <row r="13" spans="1:5">
      <c r="A13">
        <v>12</v>
      </c>
      <c r="B13">
        <v>1.3786099716338707E-2</v>
      </c>
      <c r="C13">
        <v>1.220703125E-4</v>
      </c>
      <c r="D13">
        <v>7.6295442541507441E-7</v>
      </c>
      <c r="E13">
        <v>0</v>
      </c>
    </row>
    <row r="14" spans="1:5">
      <c r="A14">
        <v>13</v>
      </c>
      <c r="B14">
        <v>9.243720819700374E-3</v>
      </c>
      <c r="C14">
        <v>6.103515625E-5</v>
      </c>
      <c r="D14">
        <v>2.5431807704201503E-7</v>
      </c>
      <c r="E14">
        <v>0</v>
      </c>
    </row>
    <row r="15" spans="1:5">
      <c r="A15">
        <v>14</v>
      </c>
      <c r="B15">
        <v>6.1862741792024778E-3</v>
      </c>
      <c r="C15">
        <v>3.0517578125E-5</v>
      </c>
      <c r="D15">
        <v>8.477268509388125E-8</v>
      </c>
      <c r="E15">
        <v>0</v>
      </c>
    </row>
    <row r="16" spans="1:5">
      <c r="A16">
        <v>15</v>
      </c>
      <c r="B16">
        <v>4.1348308797813926E-3</v>
      </c>
      <c r="C16">
        <v>1.52587890625E-5</v>
      </c>
      <c r="D16">
        <v>2.8257560957811734E-8</v>
      </c>
      <c r="E16">
        <v>0</v>
      </c>
    </row>
    <row r="17" spans="1:5">
      <c r="A17">
        <v>16</v>
      </c>
      <c r="B17">
        <v>2.7613082756700047E-3</v>
      </c>
      <c r="C17">
        <v>7.62939453125E-6</v>
      </c>
      <c r="D17">
        <v>9.4191869859372446E-9</v>
      </c>
      <c r="E17">
        <v>0</v>
      </c>
    </row>
    <row r="18" spans="1:5">
      <c r="A18">
        <v>17</v>
      </c>
      <c r="B18">
        <v>1.8429917500476511E-3</v>
      </c>
      <c r="C18">
        <v>3.814697265625E-6</v>
      </c>
      <c r="D18">
        <v>3.1397289212975465E-9</v>
      </c>
      <c r="E18">
        <v>0</v>
      </c>
    </row>
    <row r="19" spans="1:5">
      <c r="A19">
        <v>18</v>
      </c>
      <c r="B19">
        <v>1.2296051355972226E-3</v>
      </c>
      <c r="C19">
        <v>1.9073486328125E-6</v>
      </c>
      <c r="D19">
        <v>1.0465763811140505E-9</v>
      </c>
      <c r="E19">
        <v>0</v>
      </c>
    </row>
    <row r="20" spans="1:5">
      <c r="A20">
        <v>19</v>
      </c>
      <c r="B20">
        <v>8.2015687500047729E-4</v>
      </c>
      <c r="C20">
        <v>9.5367431640625E-7</v>
      </c>
      <c r="D20">
        <v>3.4885871968981519E-10</v>
      </c>
      <c r="E20">
        <v>0</v>
      </c>
    </row>
    <row r="21" spans="1:5">
      <c r="A21">
        <v>20</v>
      </c>
      <c r="B21">
        <v>5.4695814011707089E-4</v>
      </c>
      <c r="C21">
        <v>4.76837158203125E-7</v>
      </c>
      <c r="D21">
        <v>1.1628631391147337E-10</v>
      </c>
    </row>
    <row r="22" spans="1:5">
      <c r="A22">
        <v>21</v>
      </c>
      <c r="B22">
        <v>3.6472187308989046E-4</v>
      </c>
      <c r="C22">
        <v>2.384185791015625E-7</v>
      </c>
      <c r="D22">
        <v>3.876210463715779E-11</v>
      </c>
    </row>
    <row r="23" spans="1:5">
      <c r="A23">
        <v>22</v>
      </c>
      <c r="B23">
        <v>2.4318486955510199E-4</v>
      </c>
      <c r="C23">
        <v>1.1920928955078125E-7</v>
      </c>
      <c r="D23">
        <v>1.2920775560587572E-11</v>
      </c>
    </row>
    <row r="24" spans="1:5">
      <c r="A24">
        <v>23</v>
      </c>
      <c r="B24">
        <v>1.621396749023063E-4</v>
      </c>
      <c r="C24">
        <v>5.9604644775390625E-8</v>
      </c>
      <c r="D24">
        <v>4.3069992017308323E-12</v>
      </c>
    </row>
    <row r="25" spans="1:5">
      <c r="A25">
        <v>24</v>
      </c>
      <c r="B25">
        <v>1.0810041949349536E-4</v>
      </c>
      <c r="C25">
        <v>2.9802322387695313E-8</v>
      </c>
      <c r="D25">
        <v>1.4357404154452524E-12</v>
      </c>
    </row>
    <row r="26" spans="1:5">
      <c r="A26">
        <v>25</v>
      </c>
      <c r="B26">
        <v>7.2070192450590653E-5</v>
      </c>
      <c r="C26">
        <v>1.4901161193847656E-8</v>
      </c>
      <c r="D26">
        <v>4.7850612361344247E-13</v>
      </c>
    </row>
    <row r="27" spans="1:5">
      <c r="A27">
        <v>26</v>
      </c>
      <c r="B27">
        <v>4.804823780379941E-5</v>
      </c>
      <c r="C27">
        <v>7.4505805969238281E-9</v>
      </c>
      <c r="D27">
        <v>1.5942802633617248E-13</v>
      </c>
    </row>
    <row r="28" spans="1:5">
      <c r="A28">
        <v>27</v>
      </c>
      <c r="B28">
        <v>3.2032799831105407E-5</v>
      </c>
      <c r="C28">
        <v>3.7252902984619141E-9</v>
      </c>
      <c r="D28">
        <v>5.3068660577082483E-14</v>
      </c>
    </row>
    <row r="29" spans="1:5">
      <c r="A29">
        <v>28</v>
      </c>
      <c r="B29">
        <v>2.135548491766226E-5</v>
      </c>
      <c r="C29">
        <v>1.862645149230957E-9</v>
      </c>
      <c r="D29">
        <v>1.7763568394002505E-14</v>
      </c>
    </row>
    <row r="30" spans="1:5">
      <c r="A30">
        <v>29</v>
      </c>
      <c r="B30">
        <v>1.4237116628290636E-5</v>
      </c>
      <c r="C30">
        <v>9.3132257461547852E-10</v>
      </c>
      <c r="D30">
        <v>5.9952043329758453E-15</v>
      </c>
    </row>
    <row r="31" spans="1:5">
      <c r="A31">
        <v>30</v>
      </c>
      <c r="B31">
        <v>9.4914673900436952E-6</v>
      </c>
      <c r="C31">
        <v>4.6566128730773926E-10</v>
      </c>
      <c r="D31">
        <v>1.9984014443252818E-15</v>
      </c>
    </row>
    <row r="32" spans="1:5">
      <c r="A32">
        <v>31</v>
      </c>
      <c r="B32">
        <v>6.3276699512337942E-6</v>
      </c>
      <c r="C32">
        <v>2.3283064365386963E-10</v>
      </c>
      <c r="D32">
        <v>6.6613381477509392E-16</v>
      </c>
    </row>
    <row r="33" spans="1:4">
      <c r="A33">
        <v>32</v>
      </c>
      <c r="B33">
        <v>4.2184577562220937E-6</v>
      </c>
      <c r="C33">
        <v>1.1641532182693481E-10</v>
      </c>
      <c r="D33" s="1">
        <v>2.2204460492503131E-16</v>
      </c>
    </row>
    <row r="34" spans="1:4">
      <c r="A34">
        <v>33</v>
      </c>
      <c r="B34">
        <v>2.8123101140087314E-6</v>
      </c>
      <c r="C34">
        <v>5.8207660913467407E-11</v>
      </c>
      <c r="D34">
        <v>0</v>
      </c>
    </row>
    <row r="35" spans="1:4">
      <c r="A35">
        <v>34</v>
      </c>
      <c r="B35">
        <v>1.8748756063224903E-6</v>
      </c>
      <c r="C35">
        <v>2.9103830456733704E-11</v>
      </c>
      <c r="D35">
        <v>0</v>
      </c>
    </row>
    <row r="36" spans="1:4">
      <c r="A36">
        <v>35</v>
      </c>
      <c r="B36">
        <v>1.2499180472858029E-6</v>
      </c>
      <c r="C36">
        <v>1.4551915228366852E-11</v>
      </c>
      <c r="D36">
        <v>0</v>
      </c>
    </row>
    <row r="37" spans="1:4">
      <c r="A37">
        <v>36</v>
      </c>
      <c r="B37">
        <v>8.3327913213970817E-7</v>
      </c>
      <c r="C37">
        <v>7.2759576141834259E-12</v>
      </c>
      <c r="D37">
        <v>0</v>
      </c>
    </row>
    <row r="38" spans="1:4">
      <c r="A38">
        <v>37</v>
      </c>
      <c r="B38">
        <v>5.5551961430921892E-7</v>
      </c>
      <c r="C38">
        <v>3.637978807091713E-12</v>
      </c>
      <c r="D38">
        <v>0</v>
      </c>
    </row>
    <row r="39" spans="1:4">
      <c r="A39">
        <v>38</v>
      </c>
      <c r="B39">
        <v>3.7034649524869678E-7</v>
      </c>
      <c r="C39">
        <v>1.8189894035458565E-12</v>
      </c>
      <c r="D39">
        <v>0</v>
      </c>
    </row>
    <row r="40" spans="1:4">
      <c r="A40">
        <v>39</v>
      </c>
      <c r="B40">
        <v>2.4689770161678837E-7</v>
      </c>
      <c r="C40">
        <v>9.0949470177292824E-13</v>
      </c>
      <c r="D40">
        <v>0</v>
      </c>
    </row>
    <row r="41" spans="1:4">
      <c r="A41">
        <v>40</v>
      </c>
      <c r="B41">
        <v>1.6459848461991555E-7</v>
      </c>
      <c r="C41">
        <v>4.5474735088646412E-13</v>
      </c>
      <c r="D41">
        <v>0</v>
      </c>
    </row>
    <row r="42" spans="1:4">
      <c r="A42">
        <v>41</v>
      </c>
      <c r="B42">
        <v>1.097323305554454E-7</v>
      </c>
      <c r="C42">
        <v>2.2737367544323206E-13</v>
      </c>
      <c r="D42">
        <v>0</v>
      </c>
    </row>
    <row r="43" spans="1:4">
      <c r="A43">
        <v>42</v>
      </c>
      <c r="B43">
        <v>7.3154890367632674E-8</v>
      </c>
      <c r="C43">
        <v>1.1368683772161603E-13</v>
      </c>
      <c r="D43">
        <v>0</v>
      </c>
    </row>
    <row r="44" spans="1:4">
      <c r="A44">
        <v>43</v>
      </c>
      <c r="B44">
        <v>4.8769928429059917E-8</v>
      </c>
      <c r="C44">
        <v>5.6843418860808015E-14</v>
      </c>
      <c r="D44">
        <v>0</v>
      </c>
    </row>
    <row r="45" spans="1:4">
      <c r="A45">
        <v>44</v>
      </c>
      <c r="B45">
        <v>3.2513286285507093E-8</v>
      </c>
      <c r="C45">
        <v>2.8421709430404007E-14</v>
      </c>
      <c r="D45">
        <v>0</v>
      </c>
    </row>
    <row r="46" spans="1:4">
      <c r="A46">
        <v>45</v>
      </c>
      <c r="B46">
        <v>2.1675524486397535E-8</v>
      </c>
      <c r="C46">
        <v>1.4210854715202004E-14</v>
      </c>
      <c r="D46">
        <v>0</v>
      </c>
    </row>
    <row r="47" spans="1:4">
      <c r="A47">
        <v>46</v>
      </c>
      <c r="B47">
        <v>1.4450349805628093E-8</v>
      </c>
      <c r="C47">
        <v>7.1054273576010019E-15</v>
      </c>
      <c r="D47">
        <v>0</v>
      </c>
    </row>
    <row r="48" spans="1:4">
      <c r="A48">
        <v>47</v>
      </c>
      <c r="B48">
        <v>9.6335666111002638E-9</v>
      </c>
      <c r="C48">
        <v>3.5527136788005009E-15</v>
      </c>
      <c r="D48">
        <v>0</v>
      </c>
    </row>
    <row r="49" spans="1:4">
      <c r="A49">
        <v>48</v>
      </c>
      <c r="B49">
        <v>6.4223777407335092E-9</v>
      </c>
      <c r="C49">
        <v>1.7763568394002505E-15</v>
      </c>
      <c r="D49">
        <v>0</v>
      </c>
    </row>
    <row r="50" spans="1:4">
      <c r="A50">
        <v>49</v>
      </c>
      <c r="B50">
        <v>4.2815851974964403E-9</v>
      </c>
      <c r="C50">
        <v>8.8817841970012523E-16</v>
      </c>
      <c r="D50">
        <v>0</v>
      </c>
    </row>
    <row r="51" spans="1:4">
      <c r="A51">
        <v>50</v>
      </c>
      <c r="B51">
        <v>2.8543901686717277E-9</v>
      </c>
      <c r="C51">
        <v>4.4408920985006262E-16</v>
      </c>
      <c r="D51">
        <v>0</v>
      </c>
    </row>
    <row r="52" spans="1:4">
      <c r="A52">
        <v>51</v>
      </c>
      <c r="B52">
        <v>1.9029268161219193E-9</v>
      </c>
      <c r="C52" s="1">
        <v>2.2204460492503131E-16</v>
      </c>
      <c r="D52">
        <v>0</v>
      </c>
    </row>
    <row r="53" spans="1:4">
      <c r="A53">
        <v>52</v>
      </c>
      <c r="B53">
        <v>1.2686178774146128E-9</v>
      </c>
      <c r="C53">
        <v>2.2204460492503131E-16</v>
      </c>
      <c r="D53">
        <v>0</v>
      </c>
    </row>
    <row r="54" spans="1:4">
      <c r="A54">
        <v>53</v>
      </c>
      <c r="B54">
        <v>8.457452516097419E-10</v>
      </c>
      <c r="C54">
        <v>2.2204460492503131E-16</v>
      </c>
      <c r="D54">
        <v>0</v>
      </c>
    </row>
    <row r="55" spans="1:4">
      <c r="A55">
        <v>54</v>
      </c>
      <c r="B55">
        <v>5.6383020474726209E-10</v>
      </c>
      <c r="C55">
        <v>2.2204460492503131E-16</v>
      </c>
      <c r="D55">
        <v>0</v>
      </c>
    </row>
    <row r="56" spans="1:4">
      <c r="A56">
        <v>55</v>
      </c>
      <c r="B56">
        <v>3.7588676615740724E-10</v>
      </c>
      <c r="C56">
        <v>2.2204460492503131E-16</v>
      </c>
      <c r="D56">
        <v>0</v>
      </c>
    </row>
    <row r="57" spans="1:4">
      <c r="A57">
        <v>56</v>
      </c>
      <c r="B57">
        <v>2.5059121444570565E-10</v>
      </c>
      <c r="C57">
        <v>2.2204460492503131E-16</v>
      </c>
      <c r="D57">
        <v>0</v>
      </c>
    </row>
    <row r="58" spans="1:4">
      <c r="A58">
        <v>57</v>
      </c>
      <c r="B58">
        <v>1.6706080963047043E-10</v>
      </c>
      <c r="C58">
        <v>2.2204460492503131E-16</v>
      </c>
      <c r="D58">
        <v>0</v>
      </c>
    </row>
    <row r="59" spans="1:4">
      <c r="A59">
        <v>58</v>
      </c>
      <c r="B59">
        <v>1.1137391009441444E-10</v>
      </c>
      <c r="C59">
        <v>2.2204460492503131E-16</v>
      </c>
      <c r="D59">
        <v>0</v>
      </c>
    </row>
    <row r="60" spans="1:4">
      <c r="A60">
        <v>59</v>
      </c>
      <c r="B60">
        <v>7.4249273396276294E-11</v>
      </c>
      <c r="C60">
        <v>2.2204460492503131E-16</v>
      </c>
      <c r="D60">
        <v>0</v>
      </c>
    </row>
    <row r="61" spans="1:4">
      <c r="A61">
        <v>60</v>
      </c>
      <c r="B61">
        <v>4.9499515597517529E-11</v>
      </c>
      <c r="C61">
        <v>2.2204460492503131E-16</v>
      </c>
      <c r="D61">
        <v>0</v>
      </c>
    </row>
    <row r="62" spans="1:4">
      <c r="A62">
        <v>61</v>
      </c>
      <c r="B62">
        <v>3.299971407244584E-11</v>
      </c>
      <c r="C62">
        <v>2.2204460492503131E-16</v>
      </c>
      <c r="D62">
        <v>0</v>
      </c>
    </row>
    <row r="63" spans="1:4">
      <c r="A63">
        <v>62</v>
      </c>
      <c r="B63">
        <v>2.1999846389064714E-11</v>
      </c>
      <c r="C63">
        <v>2.2204460492503131E-16</v>
      </c>
      <c r="D63">
        <v>0</v>
      </c>
    </row>
    <row r="64" spans="1:4">
      <c r="A64">
        <v>63</v>
      </c>
      <c r="B64">
        <v>1.466660126681063E-11</v>
      </c>
      <c r="C64">
        <v>2.2204460492503131E-16</v>
      </c>
      <c r="D64">
        <v>0</v>
      </c>
    </row>
    <row r="65" spans="1:4">
      <c r="A65">
        <v>64</v>
      </c>
      <c r="B65">
        <v>9.7777341778737537E-12</v>
      </c>
      <c r="C65">
        <v>2.2204460492503131E-16</v>
      </c>
      <c r="D65">
        <v>0</v>
      </c>
    </row>
    <row r="66" spans="1:4">
      <c r="A66">
        <v>65</v>
      </c>
      <c r="B66">
        <v>6.5184524444816816E-12</v>
      </c>
      <c r="C66">
        <v>2.2204460492503131E-16</v>
      </c>
      <c r="D66">
        <v>0</v>
      </c>
    </row>
    <row r="67" spans="1:4">
      <c r="A67">
        <v>66</v>
      </c>
      <c r="B67">
        <v>4.3456349629877877E-12</v>
      </c>
      <c r="C67">
        <v>2.2204460492503131E-16</v>
      </c>
      <c r="D67">
        <v>0</v>
      </c>
    </row>
    <row r="68" spans="1:4">
      <c r="A68">
        <v>67</v>
      </c>
      <c r="B68">
        <v>2.897126982759346E-12</v>
      </c>
      <c r="C68">
        <v>2.2204460492503131E-16</v>
      </c>
      <c r="D68">
        <v>0</v>
      </c>
    </row>
    <row r="69" spans="1:4">
      <c r="A69">
        <v>68</v>
      </c>
      <c r="B69">
        <v>1.9314549959403848E-12</v>
      </c>
      <c r="C69">
        <v>2.2204460492503131E-16</v>
      </c>
      <c r="D69">
        <v>0</v>
      </c>
    </row>
    <row r="70" spans="1:4">
      <c r="A70">
        <v>69</v>
      </c>
      <c r="B70">
        <v>1.2876366639602566E-12</v>
      </c>
      <c r="C70">
        <v>2.2204460492503131E-16</v>
      </c>
      <c r="D70">
        <v>0</v>
      </c>
    </row>
    <row r="71" spans="1:4">
      <c r="A71">
        <v>70</v>
      </c>
      <c r="B71">
        <v>8.5842444264017104E-13</v>
      </c>
      <c r="C71">
        <v>2.2204460492503131E-16</v>
      </c>
      <c r="D71">
        <v>0</v>
      </c>
    </row>
    <row r="72" spans="1:4">
      <c r="A72">
        <v>71</v>
      </c>
      <c r="B72">
        <v>5.723199691942682E-13</v>
      </c>
      <c r="C72">
        <v>2.2204460492503131E-16</v>
      </c>
    </row>
    <row r="73" spans="1:4">
      <c r="A73">
        <v>72</v>
      </c>
      <c r="B73">
        <v>3.815836535636663E-13</v>
      </c>
      <c r="C73">
        <v>2.2204460492503131E-16</v>
      </c>
    </row>
    <row r="74" spans="1:4">
      <c r="A74">
        <v>73</v>
      </c>
      <c r="B74">
        <v>2.5435209494162336E-13</v>
      </c>
      <c r="C74">
        <v>2.2204460492503131E-16</v>
      </c>
    </row>
    <row r="75" spans="1:4">
      <c r="A75">
        <v>74</v>
      </c>
      <c r="B75">
        <v>1.695310558602614E-13</v>
      </c>
      <c r="C75">
        <v>2.2204460492503131E-16</v>
      </c>
    </row>
    <row r="76" spans="1:4">
      <c r="A76">
        <v>75</v>
      </c>
      <c r="B76">
        <v>1.1302070390684094E-13</v>
      </c>
      <c r="C76">
        <v>2.2204460492503131E-16</v>
      </c>
    </row>
    <row r="77" spans="1:4">
      <c r="A77">
        <v>76</v>
      </c>
      <c r="B77">
        <v>7.5384143372048129E-14</v>
      </c>
      <c r="C77">
        <v>2.2204460492503131E-16</v>
      </c>
    </row>
    <row r="78" spans="1:4">
      <c r="A78">
        <v>77</v>
      </c>
      <c r="B78">
        <v>5.0293103015519591E-14</v>
      </c>
      <c r="C78">
        <v>2.2204460492503131E-16</v>
      </c>
    </row>
    <row r="79" spans="1:4">
      <c r="A79">
        <v>78</v>
      </c>
      <c r="B79">
        <v>3.3528735343679728E-14</v>
      </c>
      <c r="C79">
        <v>2.2204460492503131E-16</v>
      </c>
    </row>
    <row r="80" spans="1:4">
      <c r="A80">
        <v>79</v>
      </c>
      <c r="B80">
        <v>2.2315482794965646E-14</v>
      </c>
      <c r="C80">
        <v>2.2204460492503131E-16</v>
      </c>
    </row>
    <row r="81" spans="1:3">
      <c r="A81">
        <v>80</v>
      </c>
      <c r="B81">
        <v>1.4876988529977098E-14</v>
      </c>
      <c r="C81">
        <v>2.2204460492503131E-16</v>
      </c>
    </row>
    <row r="82" spans="1:3">
      <c r="A82">
        <v>81</v>
      </c>
      <c r="B82">
        <v>9.8809849191638932E-15</v>
      </c>
      <c r="C82">
        <v>2.2204460492503131E-16</v>
      </c>
    </row>
    <row r="83" spans="1:3">
      <c r="A83">
        <v>82</v>
      </c>
      <c r="B83">
        <v>6.5503158452884236E-15</v>
      </c>
      <c r="C83">
        <v>2.2204460492503131E-16</v>
      </c>
    </row>
    <row r="84" spans="1:3">
      <c r="A84">
        <v>83</v>
      </c>
      <c r="B84">
        <v>4.3298697960381105E-15</v>
      </c>
      <c r="C84">
        <v>2.2204460492503131E-16</v>
      </c>
    </row>
    <row r="85" spans="1:3">
      <c r="A85">
        <v>84</v>
      </c>
      <c r="B85">
        <v>2.886579864025407E-15</v>
      </c>
      <c r="C85">
        <v>2.2204460492503131E-16</v>
      </c>
    </row>
    <row r="86" spans="1:3">
      <c r="A86">
        <v>85</v>
      </c>
      <c r="B86" s="1">
        <v>1.8873791418627661E-15</v>
      </c>
      <c r="C86">
        <v>2.2204460492503131E-16</v>
      </c>
    </row>
    <row r="87" spans="1:3">
      <c r="A87">
        <v>86</v>
      </c>
      <c r="B87">
        <v>0</v>
      </c>
      <c r="C87">
        <v>2.2204460492503131E-16</v>
      </c>
    </row>
    <row r="88" spans="1:3">
      <c r="A88">
        <v>87</v>
      </c>
      <c r="B88">
        <v>0</v>
      </c>
      <c r="C88">
        <v>2.2204460492503131E-16</v>
      </c>
    </row>
    <row r="89" spans="1:3">
      <c r="A89">
        <v>88</v>
      </c>
      <c r="B89">
        <v>0</v>
      </c>
      <c r="C89">
        <v>2.2204460492503131E-16</v>
      </c>
    </row>
    <row r="90" spans="1:3">
      <c r="A90">
        <v>89</v>
      </c>
      <c r="B90">
        <v>0</v>
      </c>
      <c r="C90">
        <v>2.2204460492503131E-16</v>
      </c>
    </row>
    <row r="91" spans="1:3">
      <c r="A91">
        <v>90</v>
      </c>
      <c r="C91">
        <v>2.2204460492503131E-16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E43CDC-4C23-4CC1-81FA-7063B26452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Женя Кондюрин</dc:creator>
  <cp:keywords/>
  <dc:description/>
  <cp:lastModifiedBy/>
  <cp:revision/>
  <dcterms:created xsi:type="dcterms:W3CDTF">2022-02-14T12:06:05Z</dcterms:created>
  <dcterms:modified xsi:type="dcterms:W3CDTF">2026-04-24T22:28:04Z</dcterms:modified>
  <cp:category/>
  <cp:contentStatus/>
</cp:coreProperties>
</file>